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bfef9f027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os" sheetId="1" r:id="Rc679284152d041ce"/>
    <x:sheet xmlns:r="http://schemas.openxmlformats.org/officeDocument/2006/relationships" name="Niveis" sheetId="2" r:id="Rffac4e6d4f804515"/>
    <x:sheet xmlns:r="http://schemas.openxmlformats.org/officeDocument/2006/relationships" name="RH" sheetId="3" r:id="Rf42a5f7d2288425d"/>
    <x:sheet xmlns:r="http://schemas.openxmlformats.org/officeDocument/2006/relationships" name="Equipamentos" sheetId="4" r:id="Rc18feeeda8e14ab2"/>
    <x:sheet xmlns:r="http://schemas.openxmlformats.org/officeDocument/2006/relationships" name="Infraestrutura" sheetId="5" r:id="Raf698f029e504673"/>
    <x:sheet xmlns:r="http://schemas.openxmlformats.org/officeDocument/2006/relationships" name="Custos" sheetId="6" r:id="R3b89e938970a4bc2"/>
    <x:sheet xmlns:r="http://schemas.openxmlformats.org/officeDocument/2006/relationships" name="Cenarios" sheetId="7" r:id="Rdbbc8214b3c0456c"/>
    <x:sheet xmlns:r="http://schemas.openxmlformats.org/officeDocument/2006/relationships" name="Dashboard" sheetId="8" r:id="Rcb6e81b573c14c42"/>
    <x:sheet xmlns:r="http://schemas.openxmlformats.org/officeDocument/2006/relationships" name="Acionamento" sheetId="9" r:id="Red2a01736e68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#,##0.00"/>
    <x:numFmt numFmtId="203" formatCode="&quot;R$&quot; #,##0.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253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003966"/>
      <x:name val="Arial"/>
    </x:font>
    <x:font>
      <x:sz val="11"/>
      <x:color rgb="FF0000FF"/>
      <x:name val="Carlito"/>
    </x:font>
    <x:font>
      <x:sz val="11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03966"/>
      </x:patternFill>
    </x:fill>
    <x:fill>
      <x:patternFill patternType="solid">
        <x:fgColor rgb="FFEAF2F8"/>
      </x:patternFill>
    </x:fill>
    <x:fill>
      <x:patternFill patternType="solid">
        <x:fgColor rgb="FF0067A8"/>
      </x:patternFill>
    </x:fill>
    <x:fill>
      <x:patternFill patternType="solid">
        <x:fgColor rgb="FFFFF3C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7EEF5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8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3" fontId="7" fillId="0" borderId="0" xfId="0" applyNumberFormat="1" applyFont="1" applyFill="1" applyBorder="1"/>
    <x:xf numFmtId="203" fontId="8" fillId="6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203" fontId="10" fillId="0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203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09119f27b47c9" /><Relationship Type="http://schemas.openxmlformats.org/officeDocument/2006/relationships/theme" Target="/xl/theme/theme1.xml" Id="Rf489cd0f8152430c" /><Relationship Type="http://schemas.openxmlformats.org/officeDocument/2006/relationships/sharedStrings" Target="/xl/sharedStrings.xml" Id="R3fd8bf1b70d040ae" /><Relationship Type="http://schemas.openxmlformats.org/officeDocument/2006/relationships/worksheet" Target="/xl/worksheets/sheet1.xml" Id="Rc679284152d041ce" /><Relationship Type="http://schemas.openxmlformats.org/officeDocument/2006/relationships/worksheet" Target="/xl/worksheets/sheet2.xml" Id="Rffac4e6d4f804515" /><Relationship Type="http://schemas.openxmlformats.org/officeDocument/2006/relationships/worksheet" Target="/xl/worksheets/sheet3.xml" Id="Rf42a5f7d2288425d" /><Relationship Type="http://schemas.openxmlformats.org/officeDocument/2006/relationships/worksheet" Target="/xl/worksheets/sheet4.xml" Id="Rc18feeeda8e14ab2" /><Relationship Type="http://schemas.openxmlformats.org/officeDocument/2006/relationships/worksheet" Target="/xl/worksheets/sheet5.xml" Id="Raf698f029e504673" /><Relationship Type="http://schemas.openxmlformats.org/officeDocument/2006/relationships/worksheet" Target="/xl/worksheets/sheet6.xml" Id="R3b89e938970a4bc2" /><Relationship Type="http://schemas.openxmlformats.org/officeDocument/2006/relationships/worksheet" Target="/xl/worksheets/sheet7.xml" Id="Rdbbc8214b3c0456c" /><Relationship Type="http://schemas.openxmlformats.org/officeDocument/2006/relationships/worksheet" Target="/xl/worksheets/sheet8.xml" Id="Rcb6e81b573c14c42" /><Relationship Type="http://schemas.openxmlformats.org/officeDocument/2006/relationships/worksheet" Target="/xl/worksheets/sheet9.xml" Id="Red2a01736e684f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e9d707d45f4b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Leitos de referência por nível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Leitos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e9d707d45f4be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63102267c7b45b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.630000114440918" hidden="0" customWidth="1"/>
    <x:col min="3" max="3" width="11.380000114440918" hidden="0" customWidth="1"/>
    <x:col min="4" max="4" width="15.130000114440918" hidden="0" customWidth="1"/>
    <x:col min="5" max="5" width="36" hidden="0" customWidth="1"/>
    <x:col min="6" max="6" width="36" hidden="0" customWidth="1"/>
  </x:cols>
  <x:sheetData>
    <x:row r="1" ht="28" customHeight="1">
      <x:c r="A1" s="4" t="str">
        <x:v>UHMR SES-MT — Memória de Cálculo v2</x:v>
      </x:c>
      <x:c r="B1" s="4"/>
      <x:c r="C1" s="4"/>
      <x:c r="D1" s="4"/>
      <x:c r="E1" s="4"/>
      <x:c r="F1" s="4"/>
    </x:row>
    <x:row r="2">
      <x:c r="A2" s="10" t="str">
        <x:v>Parâmetros preliminares editáveis. Valores definitivos dependem de validação assistencial, engenharia, RFI e pesquisa de preços.</x:v>
      </x:c>
      <x:c r="B2" s="10"/>
      <x:c r="C2" s="10"/>
      <x:c r="D2" s="10"/>
      <x:c r="E2" s="10"/>
      <x:c r="F2" s="10"/>
    </x:row>
    <x:row r="4">
      <x:c r="A4" s="18" t="str">
        <x:v>Parâmetro</x:v>
      </x:c>
      <x:c r="B4" s="18" t="str">
        <x:v>Valor</x:v>
      </x:c>
      <x:c r="C4" s="18" t="str">
        <x:v>Unidade</x:v>
      </x:c>
      <x:c r="D4" s="18" t="str">
        <x:v>Status</x:v>
      </x:c>
      <x:c r="E4" s="18" t="str">
        <x:v>Fonte/Justificativa</x:v>
      </x:c>
      <x:c r="F4" s="18" t="str">
        <x:v>Observação</x:v>
      </x:c>
    </x:row>
    <x:row r="5">
      <x:c r="A5" t="str">
        <x:v>Horas por dia</x:v>
      </x:c>
      <x:c r="B5" s="24" t="n">
        <x:v>24</x:v>
      </x:c>
      <x:c r="C5" t="str">
        <x:v>h</x:v>
      </x:c>
      <x:c r="D5" t="str">
        <x:v>Referência</x:v>
      </x:c>
      <x:c r="E5" s="26" t="str">
        <x:v>Operação 24/7</x:v>
      </x:c>
      <x:c r="F5" s="26" t="str">
        <x:v>Usado em cálculos de diárias</x:v>
      </x:c>
    </x:row>
    <x:row r="6">
      <x:c r="A6" t="str">
        <x:v>Dias cenário curto</x:v>
      </x:c>
      <x:c r="B6" s="24" t="n">
        <x:v>3</x:v>
      </x:c>
      <x:c r="C6" t="str">
        <x:v>dias</x:v>
      </x:c>
      <x:c r="D6" t="str">
        <x:v>Hipótese</x:v>
      </x:c>
      <x:c r="E6" s="26" t="str">
        <x:v>Autonomia inicial de referência</x:v>
      </x:c>
      <x:c r="F6" s="26" t="str">
        <x:v>Editável</x:v>
      </x:c>
    </x:row>
    <x:row r="7">
      <x:c r="A7" t="str">
        <x:v>Dias cenário médio</x:v>
      </x:c>
      <x:c r="B7" s="24" t="n">
        <x:v>7</x:v>
      </x:c>
      <x:c r="C7" t="str">
        <x:v>dias</x:v>
      </x:c>
      <x:c r="D7" t="str">
        <x:v>Hipótese</x:v>
      </x:c>
      <x:c r="E7" s="26" t="str">
        <x:v>Cenário operacional</x:v>
      </x:c>
      <x:c r="F7" s="26" t="str">
        <x:v>Editável</x:v>
      </x:c>
    </x:row>
    <x:row r="8">
      <x:c r="A8" t="str">
        <x:v>Dias cenário longo</x:v>
      </x:c>
      <x:c r="B8" s="24" t="n">
        <x:v>30</x:v>
      </x:c>
      <x:c r="C8" t="str">
        <x:v>dias</x:v>
      </x:c>
      <x:c r="D8" t="str">
        <x:v>Hipótese</x:v>
      </x:c>
      <x:c r="E8" s="26" t="str">
        <x:v>Cenário prolongado</x:v>
      </x:c>
      <x:c r="F8" s="26" t="str">
        <x:v>Editável</x:v>
      </x:c>
    </x:row>
    <x:row r="9">
      <x:c r="A9" t="str">
        <x:v>Consumo água/pessoa/dia</x:v>
      </x:c>
      <x:c r="B9" s="24" t="n">
        <x:v>150</x:v>
      </x:c>
      <x:c r="C9" t="str">
        <x:v>L</x:v>
      </x:c>
      <x:c r="D9" t="str">
        <x:v>Placeholder técnico</x:v>
      </x:c>
      <x:c r="E9" s="26" t="str">
        <x:v>A validar pela engenharia/WASH</x:v>
      </x:c>
      <x:c r="F9" s="26" t="str">
        <x:v>Não usar em edital sem validação</x:v>
      </x:c>
    </x:row>
    <x:row r="10">
      <x:c r="A10" t="str">
        <x:v>Reserva água</x:v>
      </x:c>
      <x:c r="B10" s="24" t="n">
        <x:v>1.2</x:v>
      </x:c>
      <x:c r="C10" t="str">
        <x:v>fator</x:v>
      </x:c>
      <x:c r="D10" t="str">
        <x:v>Placeholder técnico</x:v>
      </x:c>
      <x:c r="E10" s="26" t="str">
        <x:v>Margem de contingência</x:v>
      </x:c>
      <x:c r="F10" s="26" t="str">
        <x:v>Editável</x:v>
      </x:c>
    </x:row>
    <x:row r="11">
      <x:c r="A11" t="str">
        <x:v>Fator simultaneidade energia</x:v>
      </x:c>
      <x:c r="B11" s="24" t="n">
        <x:v>0.8</x:v>
      </x:c>
      <x:c r="C11" t="str">
        <x:v>fator</x:v>
      </x:c>
      <x:c r="D11" t="str">
        <x:v>Placeholder técnico</x:v>
      </x:c>
      <x:c r="E11" s="26" t="str">
        <x:v>Engenharia elétrica</x:v>
      </x:c>
      <x:c r="F11" s="26" t="str">
        <x:v>Editável</x:v>
      </x:c>
    </x:row>
    <x:row r="12">
      <x:c r="A12" t="str">
        <x:v>Reserva potência</x:v>
      </x:c>
      <x:c r="B12" s="24" t="n">
        <x:v>1.25</x:v>
      </x:c>
      <x:c r="C12" t="str">
        <x:v>fator</x:v>
      </x:c>
      <x:c r="D12" t="str">
        <x:v>Placeholder técnico</x:v>
      </x:c>
      <x:c r="E12" s="26" t="str">
        <x:v>Contingência/expansão</x:v>
      </x:c>
      <x:c r="F12" s="26" t="str">
        <x:v>Editável</x:v>
      </x:c>
    </x:row>
    <x:row r="13">
      <x:c r="A13" t="str">
        <x:v>Fator RH cobertura</x:v>
      </x:c>
      <x:c r="B13" s="24" t="n">
        <x:v>4.8</x:v>
      </x:c>
      <x:c r="C13" t="str">
        <x:v>FTE/posto 24h</x:v>
      </x:c>
      <x:c r="D13" t="str">
        <x:v>Placeholder técnico</x:v>
      </x:c>
      <x:c r="E13" s="26" t="str">
        <x:v>Cobertura + folgas</x:v>
      </x:c>
      <x:c r="F13" s="26" t="str">
        <x:v>A validar com RH/legislação</x:v>
      </x:c>
    </x:row>
    <x:row r="14">
      <x:c r="A14" t="str">
        <x:v>Custo prontidão mensal</x:v>
      </x:c>
      <x:c r="B14" s="24"/>
      <x:c r="C14" t="str">
        <x:v>R$</x:v>
      </x:c>
      <x:c r="D14" t="str">
        <x:v>Pendente RFI</x:v>
      </x:c>
      <x:c r="E14" s="26" t="str">
        <x:v>Pesquisa formal de preços</x:v>
      </x:c>
      <x:c r="F14" s="26" t="str">
        <x:v>Preencher após RFI</x:v>
      </x:c>
    </x:row>
    <x:row r="15">
      <x:c r="A15" t="str">
        <x:v>Custo mobilização</x:v>
      </x:c>
      <x:c r="B15" s="24" t="n">
        <x:v>0</x:v>
      </x:c>
      <x:c r="C15" t="str">
        <x:v>R$</x:v>
      </x:c>
      <x:c r="D15" t="str">
        <x:v>Pendente RFI</x:v>
      </x:c>
      <x:c r="E15" s="26" t="str">
        <x:v>Pesquisa formal de preços</x:v>
      </x:c>
      <x:c r="F15" s="26" t="str">
        <x:v>Preencher após RFI</x:v>
      </x:c>
    </x:row>
    <x:row r="16">
      <x:c r="A16" t="str">
        <x:v>Custo implantação</x:v>
      </x:c>
      <x:c r="B16" s="24" t="n">
        <x:v>0</x:v>
      </x:c>
      <x:c r="C16" t="str">
        <x:v>R$</x:v>
      </x:c>
      <x:c r="D16" t="str">
        <x:v>Pendente RFI</x:v>
      </x:c>
      <x:c r="E16" s="26" t="str">
        <x:v>Pesquisa formal de preços</x:v>
      </x:c>
      <x:c r="F16" s="26" t="str">
        <x:v>Preencher após RFI</x:v>
      </x:c>
    </x:row>
    <x:row r="17">
      <x:c r="A17" t="str">
        <x:v>Custo desmobilização</x:v>
      </x:c>
      <x:c r="B17" s="24" t="n">
        <x:v>0</x:v>
      </x:c>
      <x:c r="C17" t="str">
        <x:v>R$</x:v>
      </x:c>
      <x:c r="D17" t="str">
        <x:v>Pendente RFI</x:v>
      </x:c>
      <x:c r="E17" s="26" t="str">
        <x:v>Pesquisa formal de preços</x:v>
      </x:c>
      <x:c r="F17" s="26" t="str">
        <x:v>Preencher após RFI</x:v>
      </x:c>
    </x:row>
    <x:row r="18">
      <x:c r="B18" s="24"/>
      <x:c r="E18" s="26"/>
      <x:c r="F18" s="26"/>
    </x:row>
    <x:row r="19">
      <x:c r="B19" s="24"/>
      <x:c r="E19" s="26"/>
      <x:c r="F19" s="26"/>
    </x:row>
    <x:row r="20">
      <x:c r="B20" s="24"/>
      <x:c r="E20" s="26"/>
      <x:c r="F20" s="26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8.5" hidden="0" customWidth="1"/>
    <x:col min="2" max="2" width="26" hidden="0" customWidth="1"/>
    <x:col min="3" max="3" width="8.880000114440918" hidden="0" customWidth="1"/>
    <x:col min="4" max="4" width="8" hidden="0" customWidth="1"/>
    <x:col min="5" max="5" width="9.130000114440918" hidden="0" customWidth="1"/>
    <x:col min="6" max="6" width="9.130000114440918" hidden="0" customWidth="1"/>
    <x:col min="7" max="7" width="8.5" hidden="0" customWidth="1"/>
    <x:col min="8" max="8" width="13.5" hidden="0" customWidth="1"/>
    <x:col min="9" max="9" width="10.25" hidden="0" customWidth="1"/>
    <x:col min="10" max="10" width="13.75" hidden="0" customWidth="1"/>
    <x:col min="11" max="11" width="9.380000114440918" hidden="0" customWidth="1"/>
  </x:cols>
  <x:sheetData>
    <x:row r="1" ht="28" customHeight="1">
      <x:c r="A1" s="4" t="str">
        <x:v>Dimensionamento por Nível N0–N4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Faixas referenciais, não cumulativas. N0 sem leitos ativos. A missão é dimensionada na aba Acionamento.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Nível</x:v>
      </x:c>
      <x:c r="B4" s="18" t="str">
        <x:v>Descrição</x:v>
      </x:c>
      <x:c r="C4" s="18" t="str">
        <x:v>Leitos mín.</x:v>
      </x:c>
      <x:c r="D4" s="18" t="str">
        <x:v>Leitos ref.</x:v>
      </x:c>
      <x:c r="E4" s="18" t="str">
        <x:v>Leitos máx.</x:v>
      </x:c>
      <x:c r="F4" s="18" t="str">
        <x:v>Críticos ref.</x:v>
      </x:c>
      <x:c r="G4" s="18" t="str">
        <x:v>Cirurgia</x:v>
      </x:c>
      <x:c r="H4" s="18" t="str">
        <x:v>Isolamento</x:v>
      </x:c>
      <x:c r="I4" s="18" t="str">
        <x:v>Prazo ref. (h)</x:v>
      </x:c>
      <x:c r="J4" s="18" t="str">
        <x:v>Autonomia (dias)</x:v>
      </x:c>
      <x:c r="K4" s="18" t="str">
        <x:v>Status</x:v>
      </x:c>
    </x:row>
    <x:row r="5">
      <x:c r="A5" t="str">
        <x:v>N0</x:v>
      </x:c>
      <x:c r="B5" t="str">
        <x:v>Prontidão</x:v>
      </x:c>
      <x:c r="C5" t="n">
        <x:v>0</x:v>
      </x:c>
      <x:c r="D5" s="29" t="n">
        <x:v>0</x:v>
      </x:c>
      <x:c r="E5" t="n">
        <x:v>0</x:v>
      </x:c>
      <x:c r="F5" s="29" t="n">
        <x:v>0</x:v>
      </x:c>
      <x:c r="G5" t="str">
        <x:v>Não</x:v>
      </x:c>
      <x:c r="H5" t="str">
        <x:v>Não</x:v>
      </x:c>
      <x:c r="I5" s="28" t="n">
        <x:v>0</x:v>
      </x:c>
      <x:c r="J5" s="28" t="n">
        <x:v>0</x:v>
      </x:c>
      <x:c r="K5" t="str">
        <x:v>Conceitual</x:v>
      </x:c>
    </x:row>
    <x:row r="6">
      <x:c r="A6" t="str">
        <x:v>N1</x:v>
      </x:c>
      <x:c r="B6" t="str">
        <x:v>Resposta rápida</x:v>
      </x:c>
      <x:c r="C6" t="n">
        <x:v>6</x:v>
      </x:c>
      <x:c r="D6" s="29" t="n">
        <x:v>10</x:v>
      </x:c>
      <x:c r="E6" t="n">
        <x:v>12</x:v>
      </x:c>
      <x:c r="F6" s="29" t="n">
        <x:v>3</x:v>
      </x:c>
      <x:c r="G6" t="str">
        <x:v>Não</x:v>
      </x:c>
      <x:c r="H6" t="str">
        <x:v>Conforme missão</x:v>
      </x:c>
      <x:c r="I6" s="28" t="n">
        <x:v>9</x:v>
      </x:c>
      <x:c r="J6" s="28" t="n">
        <x:v>3</x:v>
      </x:c>
      <x:c r="K6" t="str">
        <x:v>Hipótese v1</x:v>
      </x:c>
    </x:row>
    <x:row r="7">
      <x:c r="A7" t="str">
        <x:v>N2</x:v>
      </x:c>
      <x:c r="B7" t="str">
        <x:v>Assistência ampliada</x:v>
      </x:c>
      <x:c r="C7" t="n">
        <x:v>12</x:v>
      </x:c>
      <x:c r="D7" s="29" t="n">
        <x:v>16</x:v>
      </x:c>
      <x:c r="E7" t="n">
        <x:v>20</x:v>
      </x:c>
      <x:c r="F7" s="29" t="n">
        <x:v>4</x:v>
      </x:c>
      <x:c r="G7" t="str">
        <x:v>Não</x:v>
      </x:c>
      <x:c r="H7" t="str">
        <x:v>Conforme missão</x:v>
      </x:c>
      <x:c r="I7" s="28" t="n">
        <x:v>18</x:v>
      </x:c>
      <x:c r="J7" s="28" t="n">
        <x:v>3</x:v>
      </x:c>
      <x:c r="K7" t="str">
        <x:v>Hipótese v1</x:v>
      </x:c>
    </x:row>
    <x:row r="8">
      <x:c r="A8" t="str">
        <x:v>N3</x:v>
      </x:c>
      <x:c r="B8" t="str">
        <x:v>Hospital modular</x:v>
      </x:c>
      <x:c r="C8" t="n">
        <x:v>20</x:v>
      </x:c>
      <x:c r="D8" s="29" t="n">
        <x:v>24</x:v>
      </x:c>
      <x:c r="E8" t="n">
        <x:v>30</x:v>
      </x:c>
      <x:c r="F8" s="29" t="n">
        <x:v>4</x:v>
      </x:c>
      <x:c r="G8" t="str">
        <x:v>1 sala</x:v>
      </x:c>
      <x:c r="H8" t="str">
        <x:v>Sim</x:v>
      </x:c>
      <x:c r="I8" s="28" t="n">
        <x:v>24</x:v>
      </x:c>
      <x:c r="J8" s="28" t="n">
        <x:v>3</x:v>
      </x:c>
      <x:c r="K8" t="str">
        <x:v>Hipótese v1</x:v>
      </x:c>
    </x:row>
    <x:row r="9">
      <x:c r="A9" t="str">
        <x:v>N4</x:v>
      </x:c>
      <x:c r="B9" t="str">
        <x:v>Hospital expandido</x:v>
      </x:c>
      <x:c r="C9" t="n">
        <x:v>40</x:v>
      </x:c>
      <x:c r="D9" s="29" t="n">
        <x:v>60</x:v>
      </x:c>
      <x:c r="E9" t="n">
        <x:v>100</x:v>
      </x:c>
      <x:c r="F9" s="29" t="n">
        <x:v>8</x:v>
      </x:c>
      <x:c r="G9" t="str">
        <x:v>Até 2 salas</x:v>
      </x:c>
      <x:c r="H9" t="str">
        <x:v>Sim</x:v>
      </x:c>
      <x:c r="I9" s="28" t="n">
        <x:v>48</x:v>
      </x:c>
      <x:c r="J9" s="28" t="n">
        <x:v>3</x:v>
      </x:c>
      <x:c r="K9" t="str">
        <x:v>Hipótese v1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8.130000114440918" hidden="0" customWidth="1"/>
    <x:col min="4" max="4" width="5.75" hidden="0" customWidth="1"/>
    <x:col min="5" max="5" width="8.130000114440918" hidden="0" customWidth="1"/>
    <x:col min="6" max="6" width="5.75" hidden="0" customWidth="1"/>
    <x:col min="7" max="7" width="8.130000114440918" hidden="0" customWidth="1"/>
    <x:col min="8" max="8" width="5.75" hidden="0" customWidth="1"/>
    <x:col min="9" max="9" width="8.130000114440918" hidden="0" customWidth="1"/>
    <x:col min="10" max="10" width="5.75" hidden="0" customWidth="1"/>
    <x:col min="11" max="11" width="15.25" hidden="0" customWidth="1"/>
    <x:col min="12" max="12" width="8.75" hidden="0" customWidth="1"/>
    <x:col min="13" max="13" width="24" hidden="0" customWidth="1"/>
    <x:col min="14" max="14" width="24" hidden="0" customWidth="1"/>
  </x:cols>
  <x:sheetData>
    <x:row r="1" ht="28" customHeight="1">
      <x:c r="A1" s="4" t="str">
        <x:v>Dimensionamento de Recursos Humanos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Modelo paramétrico inicial: postos por nível × fator de cobertura. Quantitativos finais dependem do perfil assistencial e legislação profissional.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Função</x:v>
      </x:c>
      <x:c r="B4" s="18" t="str">
        <x:v>Categoria</x:v>
      </x:c>
      <x:c r="C4" s="18" t="str">
        <x:v>Postos N1</x:v>
      </x:c>
      <x:c r="D4" s="18" t="str">
        <x:v>FTE N1</x:v>
      </x:c>
      <x:c r="E4" s="18" t="str">
        <x:v>Postos N2</x:v>
      </x:c>
      <x:c r="F4" s="18" t="str">
        <x:v>FTE N2</x:v>
      </x:c>
      <x:c r="G4" s="18" t="str">
        <x:v>Postos N3</x:v>
      </x:c>
      <x:c r="H4" s="18" t="str">
        <x:v>FTE N3</x:v>
      </x:c>
      <x:c r="I4" s="18" t="str">
        <x:v>Postos N4</x:v>
      </x:c>
      <x:c r="J4" s="18" t="str">
        <x:v>FTE N4</x:v>
      </x:c>
      <x:c r="K4" s="18" t="str">
        <x:v>Cobertura</x:v>
      </x:c>
      <x:c r="L4" s="18" t="str">
        <x:v>Criticidade</x:v>
      </x:c>
      <x:c r="M4" s="18" t="str">
        <x:v>Fonte</x:v>
      </x:c>
      <x:c r="N4" s="18" t="str">
        <x:v>Status</x:v>
      </x:c>
    </x:row>
    <x:row r="5">
      <x:c r="A5" t="str">
        <x:v>Coordenação operacional</x:v>
      </x:c>
      <x:c r="B5" t="str">
        <x:v>Gestão</x:v>
      </x:c>
      <x:c r="C5" s="28" t="n">
        <x:v>1</x:v>
      </x:c>
      <x:c r="D5" s="32" t="n">
        <x:f>C5*Parametros!$B$13</x:f>
        <x:v>4.8</x:v>
      </x:c>
      <x:c r="E5" s="34" t="n">
        <x:v>1</x:v>
      </x:c>
      <x:c r="F5" s="32" t="n">
        <x:f>E5*Parametros!$B$13</x:f>
        <x:v>4.8</x:v>
      </x:c>
      <x:c r="G5" s="34" t="n">
        <x:v>1</x:v>
      </x:c>
      <x:c r="H5" s="32" t="n">
        <x:f>G5*Parametros!$B$13</x:f>
        <x:v>4.8</x:v>
      </x:c>
      <x:c r="I5" s="34" t="n">
        <x:v>2</x:v>
      </x:c>
      <x:c r="J5" s="32" t="n">
        <x:f>I5*Parametros!$B$13</x:f>
        <x:v>9.6</x:v>
      </x:c>
      <x:c r="K5" t="str">
        <x:v>24/7</x:v>
      </x:c>
      <x:c r="L5" t="str">
        <x:v>C3</x:v>
      </x:c>
      <x:c r="M5" t="str">
        <x:v>Plano operacional</x:v>
      </x:c>
      <x:c r="N5" t="str">
        <x:v>Preliminar</x:v>
      </x:c>
    </x:row>
    <x:row r="6">
      <x:c r="A6" t="str">
        <x:v>Médico</x:v>
      </x:c>
      <x:c r="B6" t="str">
        <x:v>Assistencial</x:v>
      </x:c>
      <x:c r="C6" s="28" t="n">
        <x:v>1</x:v>
      </x:c>
      <x:c r="D6" s="32" t="n">
        <x:f>C6*Parametros!$B$13</x:f>
        <x:v>4.8</x:v>
      </x:c>
      <x:c r="E6" s="34" t="n">
        <x:v>2</x:v>
      </x:c>
      <x:c r="F6" s="32" t="n">
        <x:f>E6*Parametros!$B$13</x:f>
        <x:v>9.6</x:v>
      </x:c>
      <x:c r="G6" s="34" t="n">
        <x:v>3</x:v>
      </x:c>
      <x:c r="H6" s="32" t="n">
        <x:f>G6*Parametros!$B$13</x:f>
        <x:v>14.399999999999999</x:v>
      </x:c>
      <x:c r="I6" s="34" t="n">
        <x:v>6</x:v>
      </x:c>
      <x:c r="J6" s="32" t="n">
        <x:f>I6*Parametros!$B$13</x:f>
        <x:v>28.799999999999997</x:v>
      </x:c>
      <x:c r="K6" t="str">
        <x:v>24/7</x:v>
      </x:c>
      <x:c r="L6" t="str">
        <x:v>C4</x:v>
      </x:c>
      <x:c r="M6" t="str">
        <x:v>A validar assistência</x:v>
      </x:c>
      <x:c r="N6" t="str">
        <x:v>Preliminar</x:v>
      </x:c>
    </x:row>
    <x:row r="7">
      <x:c r="A7" t="str">
        <x:v>Enfermeiro</x:v>
      </x:c>
      <x:c r="B7" t="str">
        <x:v>Assistencial</x:v>
      </x:c>
      <x:c r="C7" s="28" t="n">
        <x:v>1</x:v>
      </x:c>
      <x:c r="D7" s="32" t="n">
        <x:f>C7*Parametros!$B$13</x:f>
        <x:v>4.8</x:v>
      </x:c>
      <x:c r="E7" s="34" t="n">
        <x:v>2</x:v>
      </x:c>
      <x:c r="F7" s="32" t="n">
        <x:f>E7*Parametros!$B$13</x:f>
        <x:v>9.6</x:v>
      </x:c>
      <x:c r="G7" s="34" t="n">
        <x:v>3</x:v>
      </x:c>
      <x:c r="H7" s="32" t="n">
        <x:f>G7*Parametros!$B$13</x:f>
        <x:v>14.399999999999999</x:v>
      </x:c>
      <x:c r="I7" s="34" t="n">
        <x:v>6</x:v>
      </x:c>
      <x:c r="J7" s="32" t="n">
        <x:f>I7*Parametros!$B$13</x:f>
        <x:v>28.799999999999997</x:v>
      </x:c>
      <x:c r="K7" t="str">
        <x:v>24/7</x:v>
      </x:c>
      <x:c r="L7" t="str">
        <x:v>C4</x:v>
      </x:c>
      <x:c r="M7" t="str">
        <x:v>A validar assistência</x:v>
      </x:c>
      <x:c r="N7" t="str">
        <x:v>Preliminar</x:v>
      </x:c>
    </x:row>
    <x:row r="8">
      <x:c r="A8" t="str">
        <x:v>Téc. enfermagem</x:v>
      </x:c>
      <x:c r="B8" t="str">
        <x:v>Assistencial</x:v>
      </x:c>
      <x:c r="C8" s="28" t="n">
        <x:v>2</x:v>
      </x:c>
      <x:c r="D8" s="32" t="n">
        <x:f>C8*Parametros!$B$13</x:f>
        <x:v>9.6</x:v>
      </x:c>
      <x:c r="E8" s="34" t="n">
        <x:v>4</x:v>
      </x:c>
      <x:c r="F8" s="32" t="n">
        <x:f>E8*Parametros!$B$13</x:f>
        <x:v>19.2</x:v>
      </x:c>
      <x:c r="G8" s="34" t="n">
        <x:v>8</x:v>
      </x:c>
      <x:c r="H8" s="32" t="n">
        <x:f>G8*Parametros!$B$13</x:f>
        <x:v>38.4</x:v>
      </x:c>
      <x:c r="I8" s="34" t="n">
        <x:v>18</x:v>
      </x:c>
      <x:c r="J8" s="32" t="n">
        <x:f>I8*Parametros!$B$13</x:f>
        <x:v>86.39999999999999</x:v>
      </x:c>
      <x:c r="K8" t="str">
        <x:v>24/7</x:v>
      </x:c>
      <x:c r="L8" t="str">
        <x:v>C4</x:v>
      </x:c>
      <x:c r="M8" t="str">
        <x:v>A validar assistência</x:v>
      </x:c>
      <x:c r="N8" t="str">
        <x:v>Preliminar</x:v>
      </x:c>
    </x:row>
    <x:row r="9">
      <x:c r="A9" t="str">
        <x:v>Fisioterapeuta</x:v>
      </x:c>
      <x:c r="B9" t="str">
        <x:v>Assistencial</x:v>
      </x:c>
      <x:c r="C9" s="28" t="n">
        <x:v>1</x:v>
      </x:c>
      <x:c r="D9" s="32" t="n">
        <x:f>C9*Parametros!$B$13</x:f>
        <x:v>4.8</x:v>
      </x:c>
      <x:c r="E9" s="34" t="n">
        <x:v>1</x:v>
      </x:c>
      <x:c r="F9" s="32" t="n">
        <x:f>E9*Parametros!$B$13</x:f>
        <x:v>4.8</x:v>
      </x:c>
      <x:c r="G9" s="34" t="n">
        <x:v>2</x:v>
      </x:c>
      <x:c r="H9" s="32" t="n">
        <x:f>G9*Parametros!$B$13</x:f>
        <x:v>9.6</x:v>
      </x:c>
      <x:c r="I9" s="34" t="n">
        <x:v>4</x:v>
      </x:c>
      <x:c r="J9" s="32" t="n">
        <x:f>I9*Parametros!$B$13</x:f>
        <x:v>19.2</x:v>
      </x:c>
      <x:c r="K9" t="str">
        <x:v>Conforme críticos</x:v>
      </x:c>
      <x:c r="L9" t="str">
        <x:v>C4</x:v>
      </x:c>
      <x:c r="M9" t="str">
        <x:v>A validar assistência</x:v>
      </x:c>
      <x:c r="N9" t="str">
        <x:v>Preliminar</x:v>
      </x:c>
    </x:row>
    <x:row r="10">
      <x:c r="A10" t="str">
        <x:v>Farmacêutico</x:v>
      </x:c>
      <x:c r="B10" t="str">
        <x:v>Assistencial</x:v>
      </x:c>
      <x:c r="C10" s="28" t="n">
        <x:v>0</x:v>
      </x:c>
      <x:c r="D10" s="32" t="n">
        <x:f>C10*Parametros!$B$13</x:f>
        <x:v>0</x:v>
      </x:c>
      <x:c r="E10" s="34" t="n">
        <x:v>1</x:v>
      </x:c>
      <x:c r="F10" s="32" t="n">
        <x:f>E10*Parametros!$B$13</x:f>
        <x:v>4.8</x:v>
      </x:c>
      <x:c r="G10" s="34" t="n">
        <x:v>1</x:v>
      </x:c>
      <x:c r="H10" s="32" t="n">
        <x:f>G10*Parametros!$B$13</x:f>
        <x:v>4.8</x:v>
      </x:c>
      <x:c r="I10" s="34" t="n">
        <x:v>2</x:v>
      </x:c>
      <x:c r="J10" s="32" t="n">
        <x:f>I10*Parametros!$B$13</x:f>
        <x:v>9.6</x:v>
      </x:c>
      <x:c r="K10" t="str">
        <x:v>Conforme operação</x:v>
      </x:c>
      <x:c r="L10" t="str">
        <x:v>C3</x:v>
      </x:c>
      <x:c r="M10" t="str">
        <x:v>A validar farmácia</x:v>
      </x:c>
      <x:c r="N10" t="str">
        <x:v>Preliminar</x:v>
      </x:c>
    </x:row>
    <x:row r="11">
      <x:c r="A11" t="str">
        <x:v>Engenharia clínica</x:v>
      </x:c>
      <x:c r="B11" t="str">
        <x:v>Técnico</x:v>
      </x:c>
      <x:c r="C11" s="28" t="n">
        <x:v>1</x:v>
      </x:c>
      <x:c r="D11" s="32" t="n">
        <x:f>C11*Parametros!$B$13</x:f>
        <x:v>4.8</x:v>
      </x:c>
      <x:c r="E11" s="34" t="n">
        <x:v>1</x:v>
      </x:c>
      <x:c r="F11" s="32" t="n">
        <x:f>E11*Parametros!$B$13</x:f>
        <x:v>4.8</x:v>
      </x:c>
      <x:c r="G11" s="34" t="n">
        <x:v>1</x:v>
      </x:c>
      <x:c r="H11" s="32" t="n">
        <x:f>G11*Parametros!$B$13</x:f>
        <x:v>4.8</x:v>
      </x:c>
      <x:c r="I11" s="34" t="n">
        <x:v>2</x:v>
      </x:c>
      <x:c r="J11" s="32" t="n">
        <x:f>I11*Parametros!$B$13</x:f>
        <x:v>9.6</x:v>
      </x:c>
      <x:c r="K11" t="str">
        <x:v>Plantão/SLA</x:v>
      </x:c>
      <x:c r="L11" t="str">
        <x:v>C4</x:v>
      </x:c>
      <x:c r="M11" t="str">
        <x:v>Engenharia clínica</x:v>
      </x:c>
      <x:c r="N11" t="str">
        <x:v>Preliminar</x:v>
      </x:c>
    </x:row>
    <x:row r="12">
      <x:c r="A12" t="str">
        <x:v>Manutenção infraestrutura</x:v>
      </x:c>
      <x:c r="B12" t="str">
        <x:v>Técnico</x:v>
      </x:c>
      <x:c r="C12" s="28" t="n">
        <x:v>1</x:v>
      </x:c>
      <x:c r="D12" s="32" t="n">
        <x:f>C12*Parametros!$B$13</x:f>
        <x:v>4.8</x:v>
      </x:c>
      <x:c r="E12" s="34" t="n">
        <x:v>1</x:v>
      </x:c>
      <x:c r="F12" s="32" t="n">
        <x:f>E12*Parametros!$B$13</x:f>
        <x:v>4.8</x:v>
      </x:c>
      <x:c r="G12" s="34" t="n">
        <x:v>2</x:v>
      </x:c>
      <x:c r="H12" s="32" t="n">
        <x:f>G12*Parametros!$B$13</x:f>
        <x:v>9.6</x:v>
      </x:c>
      <x:c r="I12" s="34" t="n">
        <x:v>3</x:v>
      </x:c>
      <x:c r="J12" s="32" t="n">
        <x:f>I12*Parametros!$B$13</x:f>
        <x:v>14.399999999999999</x:v>
      </x:c>
      <x:c r="K12" t="str">
        <x:v>Plantão/SLA</x:v>
      </x:c>
      <x:c r="L12" t="str">
        <x:v>C4</x:v>
      </x:c>
      <x:c r="M12" t="str">
        <x:v>Engenharia</x:v>
      </x:c>
      <x:c r="N12" t="str">
        <x:v>Preliminar</x:v>
      </x:c>
    </x:row>
    <x:row r="13">
      <x:c r="A13" t="str">
        <x:v>TI</x:v>
      </x:c>
      <x:c r="B13" t="str">
        <x:v>Técnico</x:v>
      </x:c>
      <x:c r="C13" s="28" t="n">
        <x:v>0</x:v>
      </x:c>
      <x:c r="D13" s="32" t="n">
        <x:f>C13*Parametros!$B$13</x:f>
        <x:v>0</x:v>
      </x:c>
      <x:c r="E13" s="34" t="n">
        <x:v>1</x:v>
      </x:c>
      <x:c r="F13" s="32" t="n">
        <x:f>E13*Parametros!$B$13</x:f>
        <x:v>4.8</x:v>
      </x:c>
      <x:c r="G13" s="34" t="n">
        <x:v>1</x:v>
      </x:c>
      <x:c r="H13" s="32" t="n">
        <x:f>G13*Parametros!$B$13</x:f>
        <x:v>4.8</x:v>
      </x:c>
      <x:c r="I13" s="34" t="n">
        <x:v>2</x:v>
      </x:c>
      <x:c r="J13" s="32" t="n">
        <x:f>I13*Parametros!$B$13</x:f>
        <x:v>9.6</x:v>
      </x:c>
      <x:c r="K13" t="str">
        <x:v>SLA</x:v>
      </x:c>
      <x:c r="L13" t="str">
        <x:v>C3</x:v>
      </x:c>
      <x:c r="M13" t="str">
        <x:v>STI</x:v>
      </x:c>
      <x:c r="N13" t="str">
        <x:v>Preliminar</x:v>
      </x:c>
    </x:row>
    <x:row r="14">
      <x:c r="A14" t="str">
        <x:v>Logística</x:v>
      </x:c>
      <x:c r="B14" t="str">
        <x:v>Apoio</x:v>
      </x:c>
      <x:c r="C14" s="28" t="n">
        <x:v>1</x:v>
      </x:c>
      <x:c r="D14" s="32" t="n">
        <x:f>C14*Parametros!$B$13</x:f>
        <x:v>4.8</x:v>
      </x:c>
      <x:c r="E14" s="34" t="n">
        <x:v>2</x:v>
      </x:c>
      <x:c r="F14" s="32" t="n">
        <x:f>E14*Parametros!$B$13</x:f>
        <x:v>9.6</x:v>
      </x:c>
      <x:c r="G14" s="34" t="n">
        <x:v>3</x:v>
      </x:c>
      <x:c r="H14" s="32" t="n">
        <x:f>G14*Parametros!$B$13</x:f>
        <x:v>14.399999999999999</x:v>
      </x:c>
      <x:c r="I14" s="34" t="n">
        <x:v>6</x:v>
      </x:c>
      <x:c r="J14" s="32" t="n">
        <x:f>I14*Parametros!$B$13</x:f>
        <x:v>28.799999999999997</x:v>
      </x:c>
      <x:c r="K14" t="str">
        <x:v>24/7 missão</x:v>
      </x:c>
      <x:c r="L14" t="str">
        <x:v>C3</x:v>
      </x:c>
      <x:c r="M14" t="str">
        <x:v>Logística</x:v>
      </x:c>
      <x:c r="N14" t="str">
        <x:v>Preliminar</x:v>
      </x:c>
    </x:row>
    <x:row r="15">
      <x:c r="A15" t="str">
        <x:v>Limpeza</x:v>
      </x:c>
      <x:c r="B15" t="str">
        <x:v>Apoio</x:v>
      </x:c>
      <x:c r="C15" s="28" t="n">
        <x:v>1</x:v>
      </x:c>
      <x:c r="D15" s="32" t="n">
        <x:f>C15*Parametros!$B$13</x:f>
        <x:v>4.8</x:v>
      </x:c>
      <x:c r="E15" s="34" t="n">
        <x:v>2</x:v>
      </x:c>
      <x:c r="F15" s="32" t="n">
        <x:f>E15*Parametros!$B$13</x:f>
        <x:v>9.6</x:v>
      </x:c>
      <x:c r="G15" s="34" t="n">
        <x:v>4</x:v>
      </x:c>
      <x:c r="H15" s="32" t="n">
        <x:f>G15*Parametros!$B$13</x:f>
        <x:v>19.2</x:v>
      </x:c>
      <x:c r="I15" s="34" t="n">
        <x:v>8</x:v>
      </x:c>
      <x:c r="J15" s="32" t="n">
        <x:f>I15*Parametros!$B$13</x:f>
        <x:v>38.4</x:v>
      </x:c>
      <x:c r="K15" t="str">
        <x:v>Escala</x:v>
      </x:c>
      <x:c r="L15" t="str">
        <x:v>C3</x:v>
      </x:c>
      <x:c r="M15" t="str">
        <x:v>A validar</x:v>
      </x:c>
      <x:c r="N15" t="str">
        <x:v>Preliminar</x:v>
      </x:c>
    </x:row>
    <x:row r="16">
      <x:c r="C16" s="28"/>
      <x:c r="E16" s="28"/>
      <x:c r="G16" s="28"/>
      <x:c r="I16" s="28"/>
    </x:row>
    <x:row r="17">
      <x:c r="C17" s="28"/>
      <x:c r="E17" s="28"/>
      <x:c r="G17" s="28"/>
      <x:c r="I17" s="28"/>
    </x:row>
    <x:row r="18">
      <x:c r="C18" s="28"/>
      <x:c r="E18" s="28"/>
      <x:c r="G18" s="28"/>
      <x:c r="I18" s="28"/>
    </x:row>
    <x:row r="19">
      <x:c r="C19" s="28"/>
      <x:c r="E19" s="28"/>
      <x:c r="G19" s="28"/>
      <x:c r="I19" s="28"/>
    </x:row>
    <x:row r="20">
      <x:c r="C20" s="28"/>
      <x:c r="E20" s="28"/>
      <x:c r="G20" s="28"/>
      <x:c r="I20" s="28"/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.75" hidden="0" customWidth="1"/>
    <x:col min="4" max="4" width="2.75" hidden="0" customWidth="1"/>
    <x:col min="5" max="5" width="2.75" hidden="0" customWidth="1"/>
    <x:col min="6" max="6" width="2.75" hidden="0" customWidth="1"/>
    <x:col min="7" max="7" width="8.75" hidden="0" customWidth="1"/>
    <x:col min="8" max="8" width="11.880000114440918" hidden="0" customWidth="1"/>
    <x:col min="9" max="9" width="15.75" hidden="0" customWidth="1"/>
    <x:col min="10" max="10" width="7.880000114440918" hidden="0" customWidth="1"/>
    <x:col min="11" max="11" width="22" hidden="0" customWidth="1"/>
    <x:col min="12" max="12" width="22" hidden="0" customWidth="1"/>
  </x:cols>
  <x:sheetData>
    <x:row r="1" ht="28" customHeight="1">
      <x:c r="A1" s="4" t="str">
        <x:v>Matriz de Equipamentos — Base de Dimensionamento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Quantidades são hipóteses iniciais e devem ser derivadas do perfil clínico validado.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8" t="str">
        <x:v>Equipamento</x:v>
      </x:c>
      <x:c r="B4" s="18" t="str">
        <x:v>Módulo</x:v>
      </x:c>
      <x:c r="C4" s="18" t="str">
        <x:v>N1</x:v>
      </x:c>
      <x:c r="D4" s="18" t="str">
        <x:v>N2</x:v>
      </x:c>
      <x:c r="E4" s="18" t="str">
        <x:v>N3</x:v>
      </x:c>
      <x:c r="F4" s="18" t="str">
        <x:v>N4</x:v>
      </x:c>
      <x:c r="G4" s="18" t="str">
        <x:v>Criticidade</x:v>
      </x:c>
      <x:c r="H4" s="18" t="str">
        <x:v>Energia kW/un</x:v>
      </x:c>
      <x:c r="I4" s="18" t="str">
        <x:v>Gases</x:v>
      </x:c>
      <x:c r="J4" s="18" t="str">
        <x:v>Backup %</x:v>
      </x:c>
      <x:c r="K4" s="18" t="str">
        <x:v>Aceite</x:v>
      </x:c>
      <x:c r="L4" s="18" t="str">
        <x:v>Status</x:v>
      </x:c>
    </x:row>
    <x:row r="5">
      <x:c r="A5" t="str">
        <x:v>Monitor multiparamétrico</x:v>
      </x:c>
      <x:c r="B5" t="str">
        <x:v>Críticos</x:v>
      </x:c>
      <x:c r="C5" s="28" t="n">
        <x:v>3</x:v>
      </x:c>
      <x:c r="D5" s="28" t="n">
        <x:v>4</x:v>
      </x:c>
      <x:c r="E5" s="28" t="n">
        <x:v>6</x:v>
      </x:c>
      <x:c r="F5" s="28" t="n">
        <x:v>12</x:v>
      </x:c>
      <x:c r="G5" t="str">
        <x:v>C4</x:v>
      </x:c>
      <x:c r="H5" s="24" t="n">
        <x:v>0.08</x:v>
      </x:c>
      <x:c r="I5" t="str">
        <x:v>O2/Ar conforme uso</x:v>
      </x:c>
      <x:c r="J5" t="n">
        <x:v>25</x:v>
      </x:c>
      <x:c r="K5" t="str">
        <x:v>Teste funcional</x:v>
      </x:c>
      <x:c r="L5" t="str">
        <x:v>Preliminar</x:v>
      </x:c>
    </x:row>
    <x:row r="6">
      <x:c r="A6" t="str">
        <x:v>Ventilador pulmonar</x:v>
      </x:c>
      <x:c r="B6" t="str">
        <x:v>Críticos</x:v>
      </x:c>
      <x:c r="C6" s="28" t="n">
        <x:v>2</x:v>
      </x:c>
      <x:c r="D6" s="28" t="n">
        <x:v>4</x:v>
      </x:c>
      <x:c r="E6" s="28" t="n">
        <x:v>4</x:v>
      </x:c>
      <x:c r="F6" s="28" t="n">
        <x:v>8</x:v>
      </x:c>
      <x:c r="G6" t="str">
        <x:v>C4</x:v>
      </x:c>
      <x:c r="H6" s="24" t="n">
        <x:v>0.15</x:v>
      </x:c>
      <x:c r="I6" t="str">
        <x:v>O2/Ar</x:v>
      </x:c>
      <x:c r="J6" t="n">
        <x:v>25</x:v>
      </x:c>
      <x:c r="K6" t="str">
        <x:v>Teste carga/falha</x:v>
      </x:c>
      <x:c r="L6" t="str">
        <x:v>Preliminar</x:v>
      </x:c>
    </x:row>
    <x:row r="7">
      <x:c r="A7" t="str">
        <x:v>Desfibrilador</x:v>
      </x:c>
      <x:c r="B7" t="str">
        <x:v>Críticos</x:v>
      </x:c>
      <x:c r="C7" s="28" t="n">
        <x:v>1</x:v>
      </x:c>
      <x:c r="D7" s="28" t="n">
        <x:v>1</x:v>
      </x:c>
      <x:c r="E7" s="28" t="n">
        <x:v>2</x:v>
      </x:c>
      <x:c r="F7" s="28" t="n">
        <x:v>3</x:v>
      </x:c>
      <x:c r="G7" t="str">
        <x:v>C4</x:v>
      </x:c>
      <x:c r="H7" s="24" t="n">
        <x:v>0.05</x:v>
      </x:c>
      <x:c r="I7" t="str">
        <x:v>Não</x:v>
      </x:c>
      <x:c r="J7" t="n">
        <x:v>50</x:v>
      </x:c>
      <x:c r="K7" t="str">
        <x:v>Teste funcional</x:v>
      </x:c>
      <x:c r="L7" t="str">
        <x:v>Preliminar</x:v>
      </x:c>
    </x:row>
    <x:row r="8">
      <x:c r="A8" t="str">
        <x:v>Bomba de infusão</x:v>
      </x:c>
      <x:c r="B8" t="str">
        <x:v>Críticos/Internação</x:v>
      </x:c>
      <x:c r="C8" s="28" t="n">
        <x:v>8</x:v>
      </x:c>
      <x:c r="D8" s="28" t="n">
        <x:v>16</x:v>
      </x:c>
      <x:c r="E8" s="28" t="n">
        <x:v>28</x:v>
      </x:c>
      <x:c r="F8" s="28" t="n">
        <x:v>60</x:v>
      </x:c>
      <x:c r="G8" t="str">
        <x:v>C4</x:v>
      </x:c>
      <x:c r="H8" s="24" t="n">
        <x:v>0.03</x:v>
      </x:c>
      <x:c r="I8" t="str">
        <x:v>Não</x:v>
      </x:c>
      <x:c r="J8" t="n">
        <x:v>20</x:v>
      </x:c>
      <x:c r="K8" t="str">
        <x:v>Teste funcional</x:v>
      </x:c>
      <x:c r="L8" t="str">
        <x:v>Preliminar</x:v>
      </x:c>
    </x:row>
    <x:row r="9">
      <x:c r="A9" t="str">
        <x:v>Aspirador</x:v>
      </x:c>
      <x:c r="B9" t="str">
        <x:v>Críticos</x:v>
      </x:c>
      <x:c r="C9" s="28" t="n">
        <x:v>2</x:v>
      </x:c>
      <x:c r="D9" s="28" t="n">
        <x:v>3</x:v>
      </x:c>
      <x:c r="E9" s="28" t="n">
        <x:v>4</x:v>
      </x:c>
      <x:c r="F9" s="28" t="n">
        <x:v>8</x:v>
      </x:c>
      <x:c r="G9" t="str">
        <x:v>C4</x:v>
      </x:c>
      <x:c r="H9" s="24" t="n">
        <x:v>0.12</x:v>
      </x:c>
      <x:c r="I9" t="str">
        <x:v>Vácuo/eléctrico</x:v>
      </x:c>
      <x:c r="J9" t="n">
        <x:v>25</x:v>
      </x:c>
      <x:c r="K9" t="str">
        <x:v>Teste funcional</x:v>
      </x:c>
      <x:c r="L9" t="str">
        <x:v>Preliminar</x:v>
      </x:c>
    </x:row>
    <x:row r="10">
      <x:c r="A10" t="str">
        <x:v>Cama/maca hospitalar</x:v>
      </x:c>
      <x:c r="B10" t="str">
        <x:v>Internação</x:v>
      </x:c>
      <x:c r="C10" s="28" t="n">
        <x:v>10</x:v>
      </x:c>
      <x:c r="D10" s="28" t="n">
        <x:v>16</x:v>
      </x:c>
      <x:c r="E10" s="28" t="n">
        <x:v>24</x:v>
      </x:c>
      <x:c r="F10" s="28" t="n">
        <x:v>60</x:v>
      </x:c>
      <x:c r="G10" t="str">
        <x:v>C3</x:v>
      </x:c>
      <x:c r="H10" s="24" t="n">
        <x:v>0</x:v>
      </x:c>
      <x:c r="I10" t="str">
        <x:v>Não</x:v>
      </x:c>
      <x:c r="J10" t="n">
        <x:v>5</x:v>
      </x:c>
      <x:c r="K10" t="str">
        <x:v>Inspeção</x:v>
      </x:c>
      <x:c r="L10" t="str">
        <x:v>Preliminar</x:v>
      </x:c>
    </x:row>
    <x:row r="11">
      <x:c r="A11" t="str">
        <x:v>Ultrassom portátil</x:v>
      </x:c>
      <x:c r="B11" t="str">
        <x:v>Diagnóstico</x:v>
      </x:c>
      <x:c r="C11" s="28" t="n">
        <x:v>1</x:v>
      </x:c>
      <x:c r="D11" s="28" t="n">
        <x:v>1</x:v>
      </x:c>
      <x:c r="E11" s="28" t="n">
        <x:v>1</x:v>
      </x:c>
      <x:c r="F11" s="28" t="n">
        <x:v>2</x:v>
      </x:c>
      <x:c r="G11" t="str">
        <x:v>C3</x:v>
      </x:c>
      <x:c r="H11" s="24" t="n">
        <x:v>0.2</x:v>
      </x:c>
      <x:c r="I11" t="str">
        <x:v>Não</x:v>
      </x:c>
      <x:c r="J11" t="n">
        <x:v>0</x:v>
      </x:c>
      <x:c r="K11" t="str">
        <x:v>Teste funcional</x:v>
      </x:c>
      <x:c r="L11" t="str">
        <x:v>Preliminar</x:v>
      </x:c>
    </x:row>
    <x:row r="12">
      <x:c r="A12" t="str">
        <x:v>Raio-X móvel digital</x:v>
      </x:c>
      <x:c r="B12" t="str">
        <x:v>Diagnóstico</x:v>
      </x:c>
      <x:c r="C12" s="28" t="n">
        <x:v>0</x:v>
      </x:c>
      <x:c r="D12" s="28" t="n">
        <x:v>0</x:v>
      </x:c>
      <x:c r="E12" s="28" t="n">
        <x:v>1</x:v>
      </x:c>
      <x:c r="F12" s="28" t="n">
        <x:v>1</x:v>
      </x:c>
      <x:c r="G12" t="str">
        <x:v>C3</x:v>
      </x:c>
      <x:c r="H12" s="24" t="n">
        <x:v>3</x:v>
      </x:c>
      <x:c r="I12" t="str">
        <x:v>Não</x:v>
      </x:c>
      <x:c r="J12" t="n">
        <x:v>0</x:v>
      </x:c>
      <x:c r="K12" t="str">
        <x:v>Teste/certificação</x:v>
      </x:c>
      <x:c r="L12" t="str">
        <x:v>Preliminar</x:v>
      </x:c>
    </x:row>
    <x:row r="13">
      <x:c r="A13" t="str">
        <x:v>Aparelho de anestesia</x:v>
      </x:c>
      <x:c r="B13" t="str">
        <x:v>Cirurgia</x:v>
      </x:c>
      <x:c r="C13" s="28" t="n">
        <x:v>0</x:v>
      </x:c>
      <x:c r="D13" s="28" t="n">
        <x:v>0</x:v>
      </x:c>
      <x:c r="E13" s="28" t="n">
        <x:v>1</x:v>
      </x:c>
      <x:c r="F13" s="28" t="n">
        <x:v>2</x:v>
      </x:c>
      <x:c r="G13" t="str">
        <x:v>C4</x:v>
      </x:c>
      <x:c r="H13" s="24" t="n">
        <x:v>0.5</x:v>
      </x:c>
      <x:c r="I13" t="str">
        <x:v>O2/Ar</x:v>
      </x:c>
      <x:c r="J13" t="n">
        <x:v>100</x:v>
      </x:c>
      <x:c r="K13" t="str">
        <x:v>Teste carga/falha</x:v>
      </x:c>
      <x:c r="L13" t="str">
        <x:v>Preliminar</x:v>
      </x:c>
    </x:row>
    <x:row r="14">
      <x:c r="A14" t="str">
        <x:v>Mesa cirúrgica</x:v>
      </x:c>
      <x:c r="B14" t="str">
        <x:v>Cirurgia</x:v>
      </x:c>
      <x:c r="C14" s="28" t="n">
        <x:v>0</x:v>
      </x:c>
      <x:c r="D14" s="28" t="n">
        <x:v>0</x:v>
      </x:c>
      <x:c r="E14" s="28" t="n">
        <x:v>1</x:v>
      </x:c>
      <x:c r="F14" s="28" t="n">
        <x:v>2</x:v>
      </x:c>
      <x:c r="G14" t="str">
        <x:v>C3</x:v>
      </x:c>
      <x:c r="H14" s="24" t="n">
        <x:v>0.2</x:v>
      </x:c>
      <x:c r="I14" t="str">
        <x:v>Não</x:v>
      </x:c>
      <x:c r="J14" t="n">
        <x:v>0</x:v>
      </x:c>
      <x:c r="K14" t="str">
        <x:v>Teste funcional</x:v>
      </x:c>
      <x:c r="L14" t="str">
        <x:v>Preliminar</x:v>
      </x:c>
    </x:row>
    <x:row r="15">
      <x:c r="A15" t="str">
        <x:v>Foco cirúrgico</x:v>
      </x:c>
      <x:c r="B15" t="str">
        <x:v>Cirurgia</x:v>
      </x:c>
      <x:c r="C15" s="28" t="n">
        <x:v>0</x:v>
      </x:c>
      <x:c r="D15" s="28" t="n">
        <x:v>0</x:v>
      </x:c>
      <x:c r="E15" s="28" t="n">
        <x:v>1</x:v>
      </x:c>
      <x:c r="F15" s="28" t="n">
        <x:v>2</x:v>
      </x:c>
      <x:c r="G15" t="str">
        <x:v>C3</x:v>
      </x:c>
      <x:c r="H15" s="24" t="n">
        <x:v>0.2</x:v>
      </x:c>
      <x:c r="I15" t="str">
        <x:v>Não</x:v>
      </x:c>
      <x:c r="J15" t="n">
        <x:v>0</x:v>
      </x:c>
      <x:c r="K15" t="str">
        <x:v>Teste funcional</x:v>
      </x:c>
      <x:c r="L15" t="str">
        <x:v>Preliminar</x:v>
      </x:c>
    </x:row>
    <x:row r="16">
      <x:c r="C16" s="28"/>
      <x:c r="D16" s="28"/>
      <x:c r="E16" s="28"/>
      <x:c r="F16" s="28"/>
      <x:c r="H16" s="24"/>
    </x:row>
    <x:row r="17">
      <x:c r="C17" s="28"/>
      <x:c r="D17" s="28"/>
      <x:c r="E17" s="28"/>
      <x:c r="F17" s="28"/>
      <x:c r="H17" s="24"/>
    </x:row>
    <x:row r="18">
      <x:c r="C18" s="28"/>
      <x:c r="D18" s="28"/>
      <x:c r="E18" s="28"/>
      <x:c r="F18" s="28"/>
      <x:c r="H18" s="24"/>
    </x:row>
    <x:row r="19">
      <x:c r="C19" s="28"/>
      <x:c r="D19" s="28"/>
      <x:c r="E19" s="28"/>
      <x:c r="F19" s="28"/>
      <x:c r="H19" s="24"/>
    </x:row>
    <x:row r="20">
      <x:c r="C20" s="28"/>
      <x:c r="D20" s="28"/>
      <x:c r="E20" s="28"/>
      <x:c r="F20" s="28"/>
      <x:c r="H20" s="24"/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3.5" hidden="0" customWidth="1"/>
    <x:col min="2" max="2" width="8" hidden="0" customWidth="1"/>
    <x:col min="3" max="3" width="20" hidden="0" customWidth="1"/>
    <x:col min="4" max="4" width="20" hidden="0" customWidth="1"/>
    <x:col min="5" max="5" width="12.75" hidden="0" customWidth="1"/>
    <x:col min="6" max="6" width="16.3799991607666" hidden="0" customWidth="1"/>
    <x:col min="7" max="7" width="21.3799991607666" hidden="0" customWidth="1"/>
    <x:col min="8" max="8" width="17.6299991607666" hidden="0" customWidth="1"/>
    <x:col min="9" max="9" width="8.25" hidden="0" customWidth="1"/>
  </x:cols>
  <x:sheetData>
    <x:row r="1" ht="28" customHeight="1">
      <x:c r="A1" s="4" t="str">
        <x:v>Memória de Infraestrutura por Nível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Cálculos simplificados para planejamento. Engenharia deverá substituir premissas por cargas e consumos medidos/validados.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8" t="str">
        <x:v>Nível</x:v>
      </x:c>
      <x:c r="B4" s="18" t="str">
        <x:v>Leitos ref.</x:v>
      </x:c>
      <x:c r="C4" s="18" t="str">
        <x:v>Equipe FTE aprox.</x:v>
      </x:c>
      <x:c r="D4" s="18" t="str">
        <x:v>População operacional eq.</x:v>
      </x:c>
      <x:c r="E4" s="18" t="str">
        <x:v>Água base L/dia</x:v>
      </x:c>
      <x:c r="F4" s="18" t="str">
        <x:v>Água c/reserva L/dia</x:v>
      </x:c>
      <x:c r="G4" s="18" t="str">
        <x:v>Potência equipamentos kW</x:v>
      </x:c>
      <x:c r="H4" s="18" t="str">
        <x:v>Potência c/reserva kW</x:v>
      </x:c>
      <x:c r="I4" s="18" t="str">
        <x:v>Status</x:v>
      </x:c>
    </x:row>
    <x:row r="5">
      <x:c r="A5" t="str">
        <x:f>Niveis!A5</x:f>
        <x:v>N0</x:v>
      </x:c>
      <x:c r="B5" s="32" t="n">
        <x:f>Niveis!D5</x:f>
        <x:v>0</x:v>
      </x:c>
      <x:c r="C5" s="32" t="n">
        <x:v>0</x:v>
      </x:c>
      <x:c r="D5" s="32" t="n">
        <x:f>B5+C5</x:f>
        <x:v>0</x:v>
      </x:c>
      <x:c r="E5" s="32" t="n">
        <x:f>D5*Parametros!$B$9</x:f>
        <x:v>0</x:v>
      </x:c>
      <x:c r="F5" s="32" t="n">
        <x:f>E5*Parametros!$B$10</x:f>
        <x:v>0</x:v>
      </x:c>
      <x:c r="G5" s="32" t="n">
        <x:v>0</x:v>
      </x:c>
      <x:c r="H5" s="32" t="n">
        <x:f>G5*Parametros!$B$12</x:f>
        <x:v>0</x:v>
      </x:c>
      <x:c r="I5" t="str">
        <x:v>Preliminar</x:v>
      </x:c>
    </x:row>
    <x:row r="6">
      <x:c r="A6" t="str">
        <x:f>Niveis!A6</x:f>
        <x:v>N1</x:v>
      </x:c>
      <x:c r="B6" s="32" t="n">
        <x:f>Niveis!D6</x:f>
        <x:v>10</x:v>
      </x:c>
      <x:c r="C6" s="32" t="n">
        <x:f>SUM(RH!D5:D15)</x:f>
        <x:v>47.99999999999999</x:v>
      </x:c>
      <x:c r="D6" s="32" t="n">
        <x:f>B6+C6</x:f>
        <x:v>57.99999999999999</x:v>
      </x:c>
      <x:c r="E6" s="32" t="n">
        <x:f>D6*Parametros!$B$9</x:f>
        <x:v>8699.999999999998</x:v>
      </x:c>
      <x:c r="F6" s="32" t="n">
        <x:f>E6*Parametros!$B$10</x:f>
        <x:v>10439.999999999998</x:v>
      </x:c>
      <x:c r="G6" s="32" t="n">
        <x:f>SUMPRODUCT(Equipamentos!C5:C15,Equipamentos!H5:H15)</x:f>
        <x:v>1.27</x:v>
      </x:c>
      <x:c r="H6" s="32" t="n">
        <x:f>G6*Parametros!$B$12</x:f>
        <x:v>1.5875</x:v>
      </x:c>
      <x:c r="I6" t="str">
        <x:v>Preliminar</x:v>
      </x:c>
    </x:row>
    <x:row r="7">
      <x:c r="A7" t="str">
        <x:f>Niveis!A7</x:f>
        <x:v>N2</x:v>
      </x:c>
      <x:c r="B7" s="32" t="n">
        <x:f>Niveis!D7</x:f>
        <x:v>16</x:v>
      </x:c>
      <x:c r="C7" s="32" t="n">
        <x:f>SUM(RH!F5:F15)</x:f>
        <x:v>86.39999999999998</x:v>
      </x:c>
      <x:c r="D7" s="32" t="n">
        <x:f>B7+C7</x:f>
        <x:v>102.39999999999998</x:v>
      </x:c>
      <x:c r="E7" s="32" t="n">
        <x:f>D7*Parametros!$B$9</x:f>
        <x:v>15359.999999999996</x:v>
      </x:c>
      <x:c r="F7" s="32" t="n">
        <x:f>E7*Parametros!$B$10</x:f>
        <x:v>18431.999999999996</x:v>
      </x:c>
      <x:c r="G7" s="32" t="n">
        <x:f>SUMPRODUCT(Equipamentos!D5:D15,Equipamentos!H5:H15)</x:f>
        <x:v>2.0100000000000002</x:v>
      </x:c>
      <x:c r="H7" s="32" t="n">
        <x:f>G7*Parametros!$B$12</x:f>
        <x:v>2.5125</x:v>
      </x:c>
      <x:c r="I7" t="str">
        <x:v>Preliminar</x:v>
      </x:c>
    </x:row>
    <x:row r="8">
      <x:c r="A8" t="str">
        <x:f>Niveis!A8</x:f>
        <x:v>N3</x:v>
      </x:c>
      <x:c r="B8" s="32" t="n">
        <x:f>Niveis!D8</x:f>
        <x:v>24</x:v>
      </x:c>
      <x:c r="C8" s="32" t="n">
        <x:f>SUM(RH!H5:H15)</x:f>
        <x:v>139.19999999999996</x:v>
      </x:c>
      <x:c r="D8" s="32" t="n">
        <x:f>B8+C8</x:f>
        <x:v>163.19999999999996</x:v>
      </x:c>
      <x:c r="E8" s="32" t="n">
        <x:f>D8*Parametros!$B$9</x:f>
        <x:v>24479.999999999993</x:v>
      </x:c>
      <x:c r="F8" s="32" t="n">
        <x:f>E8*Parametros!$B$10</x:f>
        <x:v>29375.99999999999</x:v>
      </x:c>
      <x:c r="G8" s="32" t="n">
        <x:f>SUMPRODUCT(Equipamentos!E5:E15,Equipamentos!H5:H15)</x:f>
        <x:v>6.6000000000000005</x:v>
      </x:c>
      <x:c r="H8" s="32" t="n">
        <x:f>G8*Parametros!$B$12</x:f>
        <x:v>8.25</x:v>
      </x:c>
      <x:c r="I8" t="str">
        <x:v>Preliminar</x:v>
      </x:c>
    </x:row>
    <x:row r="9">
      <x:c r="A9" t="str">
        <x:f>Niveis!A9</x:f>
        <x:v>N4</x:v>
      </x:c>
      <x:c r="B9" s="32" t="n">
        <x:f>Niveis!D9</x:f>
        <x:v>60</x:v>
      </x:c>
      <x:c r="C9" s="32" t="n">
        <x:f>SUM(RH!J5:J15)</x:f>
        <x:v>283.19999999999993</x:v>
      </x:c>
      <x:c r="D9" s="32" t="n">
        <x:f>B9+C9</x:f>
        <x:v>343.19999999999993</x:v>
      </x:c>
      <x:c r="E9" s="32" t="n">
        <x:f>D9*Parametros!$B$9</x:f>
        <x:v>51479.99999999999</x:v>
      </x:c>
      <x:c r="F9" s="32" t="n">
        <x:f>E9*Parametros!$B$10</x:f>
        <x:v>61775.999999999985</x:v>
      </x:c>
      <x:c r="G9" s="32" t="n">
        <x:f>SUMPRODUCT(Equipamentos!F5:F15,Equipamentos!H5:H15)</x:f>
        <x:v>10.27</x:v>
      </x:c>
      <x:c r="H9" s="32" t="n">
        <x:f>G9*Parametros!$B$12</x:f>
        <x:v>12.837499999999999</x:v>
      </x:c>
      <x:c r="I9" t="str">
        <x:v>Preliminar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.75" hidden="0" customWidth="1"/>
    <x:col min="3" max="3" width="3.75" hidden="0" customWidth="1"/>
    <x:col min="4" max="4" width="3.75" hidden="0" customWidth="1"/>
    <x:col min="5" max="5" width="3.75" hidden="0" customWidth="1"/>
    <x:col min="6" max="6" width="3.75" hidden="0" customWidth="1"/>
    <x:col min="7" max="7" width="8.25" hidden="0" customWidth="1"/>
    <x:col min="8" max="8" width="24" hidden="0" customWidth="1"/>
    <x:col min="9" max="9" width="24" hidden="0" customWidth="1"/>
    <x:col min="10" max="10" width="48" hidden="0" customWidth="1"/>
  </x:cols>
  <x:sheetData>
    <x:row r="1" ht="28" customHeight="1">
      <x:c r="A1" s="4" t="str">
        <x:v>Custos das configurações referenciais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Preço ausente é pendente, não custo zero. N0 é remunerado mesmo sem missão. Composição livre na aba Acionamento.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Componente</x:v>
      </x:c>
      <x:c r="B4" s="18" t="str">
        <x:v>N0</x:v>
      </x:c>
      <x:c r="C4" s="18" t="str">
        <x:v>N1</x:v>
      </x:c>
      <x:c r="D4" s="18" t="str">
        <x:v>N2</x:v>
      </x:c>
      <x:c r="E4" s="18" t="str">
        <x:v>N3</x:v>
      </x:c>
      <x:c r="F4" s="18" t="str">
        <x:v>N4</x:v>
      </x:c>
      <x:c r="G4" s="18" t="str">
        <x:v>Unidade</x:v>
      </x:c>
      <x:c r="H4" s="18" t="str">
        <x:v>Fonte</x:v>
      </x:c>
      <x:c r="I4" s="18" t="str">
        <x:v>Status</x:v>
      </x:c>
      <x:c r="J4" s="18" t="str">
        <x:v>Observação</x:v>
      </x:c>
    </x:row>
    <x:row r="5" ht="36" customHeight="1">
      <x:c r="A5" t="str">
        <x:v>Prontidão mensal</x:v>
      </x:c>
      <x:c r="B5" s="36" t="str">
        <x:f>IF(Parametros!B14="","",Parametros!B14)</x:f>
      </x:c>
      <x:c r="C5" s="36" t="n">
        <x:v>0</x:v>
      </x:c>
      <x:c r="D5" s="36" t="n">
        <x:v>0</x:v>
      </x:c>
      <x:c r="E5" s="36" t="n">
        <x:v>0</x:v>
      </x:c>
      <x:c r="F5" s="36" t="n">
        <x:v>0</x:v>
      </x:c>
      <x:c r="G5" t="str">
        <x:v>R$/mês</x:v>
      </x:c>
      <x:c r="H5" t="str">
        <x:v>RFI/Pesquisa</x:v>
      </x:c>
      <x:c r="I5" t="str">
        <x:v>Pendente</x:v>
      </x:c>
      <x:c r="J5" s="26" t="str">
        <x:v>N0 inclui manutenção ordinária pela empresa, sem cobrança adicional.</x:v>
      </x:c>
    </x:row>
    <x:row r="6" ht="36" customHeight="1">
      <x:c r="A6" t="str">
        <x:v>Diária operacional</x:v>
      </x:c>
      <x:c r="B6" s="36" t="n">
        <x:v>0</x:v>
      </x:c>
      <x:c r="C6" s="36"/>
      <x:c r="D6" s="36"/>
      <x:c r="E6" s="36"/>
      <x:c r="F6" s="36"/>
      <x:c r="G6" t="str">
        <x:v>R$/dia</x:v>
      </x:c>
      <x:c r="H6" t="str">
        <x:v>RFI/Pesquisa</x:v>
      </x:c>
      <x:c r="I6" t="str">
        <x:v>Pendente</x:v>
      </x:c>
      <x:c r="J6" s="26" t="str">
        <x:v>Referências; missão parcial usa Acionamento</x:v>
      </x:c>
    </x:row>
    <x:row r="7" ht="36" customHeight="1">
      <x:c r="A7" t="str">
        <x:v>Mobilização</x:v>
      </x:c>
      <x:c r="B7" s="36" t="n">
        <x:v>0</x:v>
      </x:c>
      <x:c r="C7" s="36"/>
      <x:c r="D7" s="36"/>
      <x:c r="E7" s="36"/>
      <x:c r="F7" s="36"/>
      <x:c r="G7" t="str">
        <x:v>R$/evento</x:v>
      </x:c>
      <x:c r="H7" t="str">
        <x:v>RFI/Pesquisa</x:v>
      </x:c>
      <x:c r="I7" t="str">
        <x:v>Pendente</x:v>
      </x:c>
      <x:c r="J7" s="26" t="str">
        <x:v>Pode variar por distância</x:v>
      </x:c>
    </x:row>
    <x:row r="8" ht="36" customHeight="1">
      <x:c r="A8" t="str">
        <x:v>Implantação</x:v>
      </x:c>
      <x:c r="B8" s="36" t="n">
        <x:v>0</x:v>
      </x:c>
      <x:c r="C8" s="36"/>
      <x:c r="D8" s="36"/>
      <x:c r="E8" s="36"/>
      <x:c r="F8" s="36"/>
      <x:c r="G8" t="str">
        <x:v>R$/evento</x:v>
      </x:c>
      <x:c r="H8" t="str">
        <x:v>RFI/Pesquisa</x:v>
      </x:c>
      <x:c r="I8" t="str">
        <x:v>Pendente</x:v>
      </x:c>
      <x:c r="J8" s="26" t="str">
        <x:v>Somente se efetivamente implantado</x:v>
      </x:c>
    </x:row>
    <x:row r="9" ht="36" customHeight="1">
      <x:c r="A9" t="str">
        <x:v>Desmobilização</x:v>
      </x:c>
      <x:c r="B9" s="36" t="n">
        <x:v>0</x:v>
      </x:c>
      <x:c r="C9" s="36"/>
      <x:c r="D9" s="36"/>
      <x:c r="E9" s="36"/>
      <x:c r="F9" s="36"/>
      <x:c r="G9" t="str">
        <x:v>R$/evento</x:v>
      </x:c>
      <x:c r="H9" t="str">
        <x:v>RFI/Pesquisa</x:v>
      </x:c>
      <x:c r="I9" t="str">
        <x:v>Pendente</x:v>
      </x:c>
      <x:c r="J9" s="26" t="str">
        <x:v>Somente se efetivamente executado</x:v>
      </x:c>
    </x:row>
    <x:row r="10" ht="36" customHeight="1">
      <x:c r="A10" t="str">
        <x:v>Exercício anual</x:v>
      </x:c>
      <x:c r="B10" s="36"/>
      <x:c r="C10" s="36"/>
      <x:c r="D10" s="36"/>
      <x:c r="E10" s="36"/>
      <x:c r="F10" s="36"/>
      <x:c r="G10" t="str">
        <x:v>R$/evento</x:v>
      </x:c>
      <x:c r="H10" t="str">
        <x:v>RFI/Pesquisa</x:v>
      </x:c>
      <x:c r="I10" t="str">
        <x:v>Pendente</x:v>
      </x:c>
      <x:c r="J10" s="26" t="str">
        <x:v>Conforme escopo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3.25" hidden="0" customWidth="1"/>
    <x:col min="2" max="2" width="13.380000114440918" hidden="0" customWidth="1"/>
    <x:col min="3" max="3" width="4.630000114440918" hidden="0" customWidth="1"/>
    <x:col min="4" max="4" width="11.5" hidden="0" customWidth="1"/>
    <x:col min="5" max="5" width="10.880000114440918" hidden="0" customWidth="1"/>
    <x:col min="6" max="6" width="8.5" hidden="0" customWidth="1"/>
    <x:col min="7" max="7" width="10.380000114440918" hidden="0" customWidth="1"/>
    <x:col min="8" max="8" width="12.130000114440918" hidden="0" customWidth="1"/>
    <x:col min="9" max="9" width="12.380000114440918" hidden="0" customWidth="1"/>
    <x:col min="10" max="10" width="10.25" hidden="0" customWidth="1"/>
    <x:col min="11" max="11" width="14.75" hidden="0" customWidth="1"/>
    <x:col min="12" max="12" width="11.25" hidden="0" customWidth="1"/>
  </x:cols>
  <x:sheetData>
    <x:row r="1" ht="28" customHeight="1">
      <x:c r="A1" s="4" t="str">
        <x:v>Cenários de Uso e Custo Total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Cenários integrais referenciais. Preços ausentes ficam pendentes. Para laboratório, medicamentos ou leitos isolados, use Acionamento.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8" t="str">
        <x:v>Cenário</x:v>
      </x:c>
      <x:c r="B4" s="18" t="str">
        <x:v>Meses prontidão</x:v>
      </x:c>
      <x:c r="C4" s="18" t="str">
        <x:v>Nível</x:v>
      </x:c>
      <x:c r="D4" s="18" t="str">
        <x:v>Ativações/ano</x:v>
      </x:c>
      <x:c r="E4" s="18" t="str">
        <x:v>Dias/ativação</x:v>
      </x:c>
      <x:c r="F4" s="18" t="str">
        <x:v>Dias totais</x:v>
      </x:c>
      <x:c r="G4" s="18" t="str">
        <x:v>Prontidão R$</x:v>
      </x:c>
      <x:c r="H4" s="18" t="str">
        <x:v>Mobilização R$</x:v>
      </x:c>
      <x:c r="I4" s="18" t="str">
        <x:v>Implantação R$</x:v>
      </x:c>
      <x:c r="J4" s="18" t="str">
        <x:v>Operação R$</x:v>
      </x:c>
      <x:c r="K4" s="18" t="str">
        <x:v>Desmobilização R$</x:v>
      </x:c>
      <x:c r="L4" s="18" t="str">
        <x:v>Custo total R$</x:v>
      </x:c>
    </x:row>
    <x:row r="5">
      <x:c r="A5" t="str">
        <x:v>Sem ativação</x:v>
      </x:c>
      <x:c r="B5" t="n">
        <x:v>12</x:v>
      </x:c>
      <x:c r="C5" t="str">
        <x:v>N0</x:v>
      </x:c>
      <x:c r="D5" t="n">
        <x:v>0</x:v>
      </x:c>
      <x:c r="E5" t="n">
        <x:v>0</x:v>
      </x:c>
      <x:c r="F5" t="n">
        <x:f>D5*E5</x:f>
        <x:v>0</x:v>
      </x:c>
      <x:c r="G5" s="38" t="str">
        <x:f>IF(Custos!$B$5="","",B5*Custos!$B$5)</x:f>
      </x:c>
      <x:c r="H5" s="38" t="n">
        <x:f>IF(C5="N0",0,IF(INDEX(Custos!$B$7:$F$7,1,MATCH(C5,Custos!$B$4:$F$4,0))="","",D5*INDEX(Custos!$B$7:$F$7,1,MATCH(C5,Custos!$B$4:$F$4,0))))</x:f>
        <x:v>0</x:v>
      </x:c>
      <x:c r="I5" s="38" t="n">
        <x:f>IF(C5="N0",0,IF(INDEX(Custos!$B$8:$F$8,1,MATCH(C5,Custos!$B$4:$F$4,0))="","",D5*INDEX(Custos!$B$8:$F$8,1,MATCH(C5,Custos!$B$4:$F$4,0))))</x:f>
        <x:v>0</x:v>
      </x:c>
      <x:c r="J5" s="38" t="n">
        <x:f>IF(C5="N0",0,IF(INDEX(Custos!$B$6:$F$6,1,MATCH(C5,Custos!$B$4:$F$4,0))="","",F5*INDEX(Custos!$B$6:$F$6,1,MATCH(C5,Custos!$B$4:$F$4,0))))</x:f>
        <x:v>0</x:v>
      </x:c>
      <x:c r="K5" s="38" t="n">
        <x:f>IF(C5="N0",0,IF(INDEX(Custos!$B$9:$F$9,1,MATCH(C5,Custos!$B$4:$F$4,0))="","",D5*INDEX(Custos!$B$9:$F$9,1,MATCH(C5,Custos!$B$4:$F$4,0))))</x:f>
        <x:v>0</x:v>
      </x:c>
      <x:c r="L5" s="38" t="str">
        <x:f>IF(COUNT(G5:K5)&lt;5,"PENDENTE",SUM(G5:K5))</x:f>
        <x:v>PENDENTE</x:v>
      </x:c>
    </x:row>
    <x:row r="6">
      <x:c r="A6" t="str">
        <x:v>Baixa utilização</x:v>
      </x:c>
      <x:c r="B6" t="n">
        <x:v>12</x:v>
      </x:c>
      <x:c r="C6" t="str">
        <x:v>N1</x:v>
      </x:c>
      <x:c r="D6" t="n">
        <x:v>2</x:v>
      </x:c>
      <x:c r="E6" t="n">
        <x:v>3</x:v>
      </x:c>
      <x:c r="F6" t="n">
        <x:f>D6*E6</x:f>
        <x:v>6</x:v>
      </x:c>
      <x:c r="G6" s="38" t="str">
        <x:f>IF(Custos!$B$5="","",B6*Custos!$B$5)</x:f>
      </x:c>
      <x:c r="H6" s="38" t="str">
        <x:f>IF(C6="N0",0,IF(INDEX(Custos!$B$7:$F$7,1,MATCH(C6,Custos!$B$4:$F$4,0))="","",D6*INDEX(Custos!$B$7:$F$7,1,MATCH(C6,Custos!$B$4:$F$4,0))))</x:f>
      </x:c>
      <x:c r="I6" s="38" t="str">
        <x:f>IF(C6="N0",0,IF(INDEX(Custos!$B$8:$F$8,1,MATCH(C6,Custos!$B$4:$F$4,0))="","",D6*INDEX(Custos!$B$8:$F$8,1,MATCH(C6,Custos!$B$4:$F$4,0))))</x:f>
      </x:c>
      <x:c r="J6" s="38" t="str">
        <x:f>IF(C6="N0",0,IF(INDEX(Custos!$B$6:$F$6,1,MATCH(C6,Custos!$B$4:$F$4,0))="","",F6*INDEX(Custos!$B$6:$F$6,1,MATCH(C6,Custos!$B$4:$F$4,0))))</x:f>
      </x:c>
      <x:c r="K6" s="38" t="str">
        <x:f>IF(C6="N0",0,IF(INDEX(Custos!$B$9:$F$9,1,MATCH(C6,Custos!$B$4:$F$4,0))="","",D6*INDEX(Custos!$B$9:$F$9,1,MATCH(C6,Custos!$B$4:$F$4,0))))</x:f>
      </x:c>
      <x:c r="L6" s="38" t="str">
        <x:f>IF(COUNT(G6:K6)&lt;5,"PENDENTE",SUM(G6:K6))</x:f>
        <x:v>PENDENTE</x:v>
      </x:c>
    </x:row>
    <x:row r="7">
      <x:c r="A7" t="str">
        <x:v>Moderada</x:v>
      </x:c>
      <x:c r="B7" t="n">
        <x:v>12</x:v>
      </x:c>
      <x:c r="C7" t="str">
        <x:v>N2</x:v>
      </x:c>
      <x:c r="D7" t="n">
        <x:v>3</x:v>
      </x:c>
      <x:c r="E7" t="n">
        <x:v>7</x:v>
      </x:c>
      <x:c r="F7" t="n">
        <x:f>D7*E7</x:f>
        <x:v>21</x:v>
      </x:c>
      <x:c r="G7" s="38" t="str">
        <x:f>IF(Custos!$B$5="","",B7*Custos!$B$5)</x:f>
      </x:c>
      <x:c r="H7" s="38" t="str">
        <x:f>IF(C7="N0",0,IF(INDEX(Custos!$B$7:$F$7,1,MATCH(C7,Custos!$B$4:$F$4,0))="","",D7*INDEX(Custos!$B$7:$F$7,1,MATCH(C7,Custos!$B$4:$F$4,0))))</x:f>
      </x:c>
      <x:c r="I7" s="38" t="str">
        <x:f>IF(C7="N0",0,IF(INDEX(Custos!$B$8:$F$8,1,MATCH(C7,Custos!$B$4:$F$4,0))="","",D7*INDEX(Custos!$B$8:$F$8,1,MATCH(C7,Custos!$B$4:$F$4,0))))</x:f>
      </x:c>
      <x:c r="J7" s="38" t="str">
        <x:f>IF(C7="N0",0,IF(INDEX(Custos!$B$6:$F$6,1,MATCH(C7,Custos!$B$4:$F$4,0))="","",F7*INDEX(Custos!$B$6:$F$6,1,MATCH(C7,Custos!$B$4:$F$4,0))))</x:f>
      </x:c>
      <x:c r="K7" s="38" t="str">
        <x:f>IF(C7="N0",0,IF(INDEX(Custos!$B$9:$F$9,1,MATCH(C7,Custos!$B$4:$F$4,0))="","",D7*INDEX(Custos!$B$9:$F$9,1,MATCH(C7,Custos!$B$4:$F$4,0))))</x:f>
      </x:c>
      <x:c r="L7" s="38" t="str">
        <x:f>IF(COUNT(G7:K7)&lt;5,"PENDENTE",SUM(G7:K7))</x:f>
        <x:v>PENDENTE</x:v>
      </x:c>
    </x:row>
    <x:row r="8">
      <x:c r="A8" t="str">
        <x:v>Hospital modular</x:v>
      </x:c>
      <x:c r="B8" t="n">
        <x:v>12</x:v>
      </x:c>
      <x:c r="C8" t="str">
        <x:v>N3</x:v>
      </x:c>
      <x:c r="D8" t="n">
        <x:v>2</x:v>
      </x:c>
      <x:c r="E8" t="n">
        <x:v>14</x:v>
      </x:c>
      <x:c r="F8" t="n">
        <x:f>D8*E8</x:f>
        <x:v>28</x:v>
      </x:c>
      <x:c r="G8" s="38" t="str">
        <x:f>IF(Custos!$B$5="","",B8*Custos!$B$5)</x:f>
      </x:c>
      <x:c r="H8" s="38" t="str">
        <x:f>IF(C8="N0",0,IF(INDEX(Custos!$B$7:$F$7,1,MATCH(C8,Custos!$B$4:$F$4,0))="","",D8*INDEX(Custos!$B$7:$F$7,1,MATCH(C8,Custos!$B$4:$F$4,0))))</x:f>
      </x:c>
      <x:c r="I8" s="38" t="str">
        <x:f>IF(C8="N0",0,IF(INDEX(Custos!$B$8:$F$8,1,MATCH(C8,Custos!$B$4:$F$4,0))="","",D8*INDEX(Custos!$B$8:$F$8,1,MATCH(C8,Custos!$B$4:$F$4,0))))</x:f>
      </x:c>
      <x:c r="J8" s="38" t="str">
        <x:f>IF(C8="N0",0,IF(INDEX(Custos!$B$6:$F$6,1,MATCH(C8,Custos!$B$4:$F$4,0))="","",F8*INDEX(Custos!$B$6:$F$6,1,MATCH(C8,Custos!$B$4:$F$4,0))))</x:f>
      </x:c>
      <x:c r="K8" s="38" t="str">
        <x:f>IF(C8="N0",0,IF(INDEX(Custos!$B$9:$F$9,1,MATCH(C8,Custos!$B$4:$F$4,0))="","",D8*INDEX(Custos!$B$9:$F$9,1,MATCH(C8,Custos!$B$4:$F$4,0))))</x:f>
      </x:c>
      <x:c r="L8" s="38" t="str">
        <x:f>IF(COUNT(G8:K8)&lt;5,"PENDENTE",SUM(G8:K8))</x:f>
        <x:v>PENDENTE</x:v>
      </x:c>
    </x:row>
    <x:row r="9">
      <x:c r="A9" t="str">
        <x:v>Evento prolongado</x:v>
      </x:c>
      <x:c r="B9" t="n">
        <x:v>12</x:v>
      </x:c>
      <x:c r="C9" t="str">
        <x:v>N3</x:v>
      </x:c>
      <x:c r="D9" t="n">
        <x:v>1</x:v>
      </x:c>
      <x:c r="E9" t="n">
        <x:v>30</x:v>
      </x:c>
      <x:c r="F9" t="n">
        <x:f>D9*E9</x:f>
        <x:v>30</x:v>
      </x:c>
      <x:c r="G9" s="38" t="str">
        <x:f>IF(Custos!$B$5="","",B9*Custos!$B$5)</x:f>
      </x:c>
      <x:c r="H9" s="38" t="str">
        <x:f>IF(C9="N0",0,IF(INDEX(Custos!$B$7:$F$7,1,MATCH(C9,Custos!$B$4:$F$4,0))="","",D9*INDEX(Custos!$B$7:$F$7,1,MATCH(C9,Custos!$B$4:$F$4,0))))</x:f>
      </x:c>
      <x:c r="I9" s="38" t="str">
        <x:f>IF(C9="N0",0,IF(INDEX(Custos!$B$8:$F$8,1,MATCH(C9,Custos!$B$4:$F$4,0))="","",D9*INDEX(Custos!$B$8:$F$8,1,MATCH(C9,Custos!$B$4:$F$4,0))))</x:f>
      </x:c>
      <x:c r="J9" s="38" t="str">
        <x:f>IF(C9="N0",0,IF(INDEX(Custos!$B$6:$F$6,1,MATCH(C9,Custos!$B$4:$F$4,0))="","",F9*INDEX(Custos!$B$6:$F$6,1,MATCH(C9,Custos!$B$4:$F$4,0))))</x:f>
      </x:c>
      <x:c r="K9" s="38" t="str">
        <x:f>IF(C9="N0",0,IF(INDEX(Custos!$B$9:$F$9,1,MATCH(C9,Custos!$B$4:$F$4,0))="","",D9*INDEX(Custos!$B$9:$F$9,1,MATCH(C9,Custos!$B$4:$F$4,0))))</x:f>
      </x:c>
      <x:c r="L9" s="38" t="str">
        <x:f>IF(COUNT(G9:K9)&lt;5,"PENDENTE",SUM(G9:K9))</x:f>
        <x:v>PENDENTE</x:v>
      </x:c>
    </x:row>
    <x:row r="10">
      <x:c r="A10" t="str">
        <x:v>Expansão crítica</x:v>
      </x:c>
      <x:c r="B10" t="n">
        <x:v>12</x:v>
      </x:c>
      <x:c r="C10" t="str">
        <x:v>N4</x:v>
      </x:c>
      <x:c r="D10" t="n">
        <x:v>1</x:v>
      </x:c>
      <x:c r="E10" t="n">
        <x:v>14</x:v>
      </x:c>
      <x:c r="F10" t="n">
        <x:f>D10*E10</x:f>
        <x:v>14</x:v>
      </x:c>
      <x:c r="G10" s="38" t="str">
        <x:f>IF(Custos!$B$5="","",B10*Custos!$B$5)</x:f>
      </x:c>
      <x:c r="H10" s="38" t="str">
        <x:f>IF(C10="N0",0,IF(INDEX(Custos!$B$7:$F$7,1,MATCH(C10,Custos!$B$4:$F$4,0))="","",D10*INDEX(Custos!$B$7:$F$7,1,MATCH(C10,Custos!$B$4:$F$4,0))))</x:f>
      </x:c>
      <x:c r="I10" s="38" t="str">
        <x:f>IF(C10="N0",0,IF(INDEX(Custos!$B$8:$F$8,1,MATCH(C10,Custos!$B$4:$F$4,0))="","",D10*INDEX(Custos!$B$8:$F$8,1,MATCH(C10,Custos!$B$4:$F$4,0))))</x:f>
      </x:c>
      <x:c r="J10" s="38" t="str">
        <x:f>IF(C10="N0",0,IF(INDEX(Custos!$B$6:$F$6,1,MATCH(C10,Custos!$B$4:$F$4,0))="","",F10*INDEX(Custos!$B$6:$F$6,1,MATCH(C10,Custos!$B$4:$F$4,0))))</x:f>
      </x:c>
      <x:c r="K10" s="38" t="str">
        <x:f>IF(C10="N0",0,IF(INDEX(Custos!$B$9:$F$9,1,MATCH(C10,Custos!$B$4:$F$4,0))="","",D10*INDEX(Custos!$B$9:$F$9,1,MATCH(C10,Custos!$B$4:$F$4,0))))</x:f>
      </x:c>
      <x:c r="L10" s="38" t="str">
        <x:f>IF(COUNT(G10:K10)&lt;5,"PENDENTE",SUM(G10:K10))</x:f>
        <x:v>PENDENTE</x:v>
      </x:c>
    </x:row>
  </x:sheetData>
  <x:mergeCells>
    <x:mergeCell ref="A1:L1"/>
    <x:mergeCell ref="A2:L2"/>
  </x:mergeCells>
  <x:dataValidations count="1">
    <x:dataValidation type="list" sqref="C5:C10">
      <x:formula1>"N0,N1,N2,N3,N4"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.75" hidden="0" customWidth="1"/>
    <x:col min="4" max="4" width="14" hidden="0" customWidth="1"/>
    <x:col min="5" max="5" width="5" hidden="0" customWidth="1"/>
    <x:col min="6" max="6" width="4.75" hidden="0" customWidth="1"/>
    <x:col min="7" max="7" width="8.75" hidden="0" customWidth="1"/>
    <x:col min="8" max="8" width="10.130000114440918" hidden="0" customWidth="1"/>
  </x:cols>
  <x:sheetData>
    <x:row r="1" ht="28" customHeight="1">
      <x:c r="A1" s="4" t="str">
        <x:v>UHMR SES-MT — Dashboard de Dimensionamento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Referências N1–N4 para comparação. A configuração efetiva e seu custo são calculados em Acionamento.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Indicador</x:v>
      </x:c>
      <x:c r="B4" s="18" t="str">
        <x:v>Valor</x:v>
      </x:c>
      <x:c r="D4" s="18" t="str">
        <x:v>Nível</x:v>
      </x:c>
      <x:c r="E4" s="18" t="str">
        <x:v>Leitos</x:v>
      </x:c>
      <x:c r="F4" s="18" t="str">
        <x:v>FTE</x:v>
      </x:c>
      <x:c r="G4" s="18" t="str">
        <x:v>Água L/dia</x:v>
      </x:c>
      <x:c r="H4" s="18" t="str">
        <x:v>Potência kW</x:v>
      </x:c>
    </x:row>
    <x:row r="5">
      <x:c r="A5" t="str">
        <x:v>Leitos referência N3</x:v>
      </x:c>
      <x:c r="B5" t="n">
        <x:f>Niveis!D8</x:f>
        <x:v>24</x:v>
      </x:c>
      <x:c r="D5" t="str">
        <x:f>Infraestrutura!A5</x:f>
        <x:v>N0</x:v>
      </x:c>
      <x:c r="E5" t="n">
        <x:f>Infraestrutura!B5</x:f>
        <x:v>0</x:v>
      </x:c>
      <x:c r="F5" t="n">
        <x:f>Infraestrutura!C5</x:f>
        <x:v>0</x:v>
      </x:c>
      <x:c r="G5" t="n">
        <x:f>Infraestrutura!F5</x:f>
        <x:v>0</x:v>
      </x:c>
      <x:c r="H5" t="n">
        <x:f>Infraestrutura!H5</x:f>
        <x:v>0</x:v>
      </x:c>
    </x:row>
    <x:row r="6">
      <x:c r="A6" t="str">
        <x:v>Leitos referência N4</x:v>
      </x:c>
      <x:c r="B6" t="n">
        <x:f>Niveis!D9</x:f>
        <x:v>60</x:v>
      </x:c>
      <x:c r="D6" t="str">
        <x:f>Infraestrutura!A6</x:f>
        <x:v>N1</x:v>
      </x:c>
      <x:c r="E6" t="n">
        <x:f>Infraestrutura!B6</x:f>
        <x:v>10</x:v>
      </x:c>
      <x:c r="F6" t="n">
        <x:f>Infraestrutura!C6</x:f>
        <x:v>47.99999999999999</x:v>
      </x:c>
      <x:c r="G6" t="n">
        <x:f>Infraestrutura!F6</x:f>
        <x:v>10439.999999999998</x:v>
      </x:c>
      <x:c r="H6" t="n">
        <x:f>Infraestrutura!H6</x:f>
        <x:v>1.5875</x:v>
      </x:c>
    </x:row>
    <x:row r="7">
      <x:c r="A7" t="str">
        <x:v>FTE estimado N3</x:v>
      </x:c>
      <x:c r="B7" t="n">
        <x:f>SUM(RH!H5:H15)</x:f>
        <x:v>139.19999999999996</x:v>
      </x:c>
      <x:c r="D7" t="str">
        <x:f>Infraestrutura!A7</x:f>
        <x:v>N2</x:v>
      </x:c>
      <x:c r="E7" t="n">
        <x:f>Infraestrutura!B7</x:f>
        <x:v>16</x:v>
      </x:c>
      <x:c r="F7" t="n">
        <x:f>Infraestrutura!C7</x:f>
        <x:v>86.39999999999998</x:v>
      </x:c>
      <x:c r="G7" t="n">
        <x:f>Infraestrutura!F7</x:f>
        <x:v>18431.999999999996</x:v>
      </x:c>
      <x:c r="H7" t="n">
        <x:f>Infraestrutura!H7</x:f>
        <x:v>2.5125</x:v>
      </x:c>
    </x:row>
    <x:row r="8">
      <x:c r="A8" t="str">
        <x:v>Potência preliminar N3 (kW)</x:v>
      </x:c>
      <x:c r="B8" t="n">
        <x:f>Infraestrutura!H8</x:f>
        <x:v>8.25</x:v>
      </x:c>
      <x:c r="D8" t="str">
        <x:f>Infraestrutura!A8</x:f>
        <x:v>N3</x:v>
      </x:c>
      <x:c r="E8" t="n">
        <x:f>Infraestrutura!B8</x:f>
        <x:v>24</x:v>
      </x:c>
      <x:c r="F8" t="n">
        <x:f>Infraestrutura!C8</x:f>
        <x:v>139.19999999999996</x:v>
      </x:c>
      <x:c r="G8" t="n">
        <x:f>Infraestrutura!F8</x:f>
        <x:v>29375.99999999999</x:v>
      </x:c>
      <x:c r="H8" t="n">
        <x:f>Infraestrutura!H8</x:f>
        <x:v>8.25</x:v>
      </x:c>
    </x:row>
    <x:row r="9">
      <x:c r="D9" t="str">
        <x:f>Infraestrutura!A9</x:f>
        <x:v>N4</x:v>
      </x:c>
      <x:c r="E9" t="n">
        <x:f>Infraestrutura!B9</x:f>
        <x:v>60</x:v>
      </x:c>
      <x:c r="F9" t="n">
        <x:f>Infraestrutura!C9</x:f>
        <x:v>283.19999999999993</x:v>
      </x:c>
      <x:c r="G9" t="n">
        <x:f>Infraestrutura!F9</x:f>
        <x:v>61775.999999999985</x:v>
      </x:c>
      <x:c r="H9" t="n">
        <x:f>Infraestrutura!H9</x:f>
        <x:v>12.837499999999999</x:v>
      </x:c>
    </x:row>
    <x:row r="11">
      <x:c r="A11" s="41" t="str">
        <x:v>ATENÇÃO: esta planilha é ferramenta de planejamento. Os valores marcados como hipótese/placeholder não podem ser transpostos para edital ou contrato sem memória de cálculo, RFI/pesquisa de preços e validação das áreas competentes.</x:v>
      </x:c>
      <x:c r="B11" s="41"/>
      <x:c r="C11" s="41"/>
      <x:c r="D11" s="41"/>
      <x:c r="E11" s="41"/>
      <x:c r="F11" s="41"/>
      <x:c r="G11" s="41"/>
      <x:c r="H11" s="41"/>
    </x:row>
    <x:row r="12">
      <x:c r="A12" s="41"/>
      <x:c r="B12" s="41"/>
      <x:c r="C12" s="41"/>
      <x:c r="D12" s="41"/>
      <x:c r="E12" s="41"/>
      <x:c r="F12" s="41"/>
      <x:c r="G12" s="41"/>
      <x:c r="H12" s="41"/>
    </x:row>
    <x:row r="13">
      <x:c r="A13" s="41"/>
      <x:c r="B13" s="41"/>
      <x:c r="C13" s="41"/>
      <x:c r="D13" s="41"/>
      <x:c r="E13" s="41"/>
      <x:c r="F13" s="41"/>
      <x:c r="G13" s="41"/>
      <x:c r="H13" s="41"/>
    </x:row>
  </x:sheetData>
  <x:mergeCells>
    <x:mergeCell ref="A1:H1"/>
    <x:mergeCell ref="A2:H2"/>
    <x:mergeCell ref="A11:H13"/>
  </x:mergeCells>
  <x:pageMargins left="0.7" right="0.7" top="0.75" bottom="0.75" header="0.3" footer="0.3"/>
  <x:drawing xmlns:r="http://schemas.openxmlformats.org/officeDocument/2006/relationships" r:id="Rb63102267c7b45b8"/>
</x:worksheet>
</file>

<file path=xl/worksheets/sheet9.xml><?xml version="1.0" encoding="utf-8"?>
<x:worksheet xmlns:x="http://schemas.openxmlformats.org/spreadsheetml/2006/main">
  <x:sheetPr>
    <x:tabColor rgb="FF003966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28" hidden="0" customWidth="1"/>
    <x:col min="9" max="9" width="38" hidden="0" customWidth="1"/>
  </x:cols>
  <x:sheetData>
    <x:row r="1">
      <x:c r="A1" s="42" t="str">
        <x:v>Configuração da missão UHMR</x:v>
      </x:c>
    </x:row>
    <x:row r="3" ht="28" customHeight="1">
      <x:c r="A3" s="45" t="str">
        <x:v>Revisão</x:v>
      </x:c>
      <x:c r="B3" s="45" t="str">
        <x:v>2.1 — 28/09/2026</x:v>
      </x:c>
      <x:c r="C3" s="45"/>
      <x:c r="D3" s="45"/>
      <x:c r="E3" s="45"/>
      <x:c r="F3" s="45"/>
      <x:c r="G3" s="45"/>
      <x:c r="H3" s="45"/>
      <x:c r="I3" s="45"/>
    </x:row>
    <x:row r="4" ht="28" customHeight="1">
      <x:c r="A4" s="45" t="str">
        <x:v>Modalidade da missão</x:v>
      </x:c>
      <x:c r="B4" s="46" t="str">
        <x:v>A definir</x:v>
      </x:c>
      <x:c r="C4" s="45"/>
      <x:c r="D4" s="45"/>
      <x:c r="E4" s="45"/>
      <x:c r="F4" s="45"/>
      <x:c r="G4" s="45"/>
      <x:c r="H4" s="45"/>
      <x:c r="I4" s="45"/>
    </x:row>
    <x:row r="5" ht="28" customHeight="1">
      <x:c r="A5" s="45" t="str">
        <x:v>Nível de referência</x:v>
      </x:c>
      <x:c r="B5" s="46" t="str">
        <x:v>Não obrigatório</x:v>
      </x:c>
      <x:c r="C5" s="45"/>
      <x:c r="D5" s="45"/>
      <x:c r="E5" s="45"/>
      <x:c r="F5" s="45"/>
      <x:c r="G5" s="45"/>
      <x:c r="H5" s="45"/>
      <x:c r="I5" s="45"/>
    </x:row>
    <x:row r="6" ht="28" customHeight="1">
      <x:c r="A6" s="45" t="str">
        <x:v>Nota técnica e risco</x:v>
      </x:c>
      <x:c r="B6" s="46"/>
      <x:c r="C6" s="45"/>
      <x:c r="D6" s="45"/>
      <x:c r="E6" s="45"/>
      <x:c r="F6" s="45"/>
      <x:c r="G6" s="45"/>
      <x:c r="H6" s="45"/>
      <x:c r="I6" s="45"/>
    </x:row>
    <x:row r="7" ht="28" customHeight="1">
      <x:c r="A7" s="45" t="str">
        <x:v>Cenários e capacidade da rede</x:v>
      </x:c>
      <x:c r="B7" s="46"/>
      <x:c r="C7" s="45"/>
      <x:c r="D7" s="45"/>
      <x:c r="E7" s="45"/>
      <x:c r="F7" s="45"/>
      <x:c r="G7" s="45"/>
      <x:c r="H7" s="45"/>
      <x:c r="I7" s="45"/>
    </x:row>
    <x:row r="8" ht="28" customHeight="1">
      <x:c r="A8" s="45" t="str">
        <x:v>OA e decisão do Secretário</x:v>
      </x:c>
      <x:c r="B8" s="46"/>
      <x:c r="C8" s="45"/>
      <x:c r="D8" s="45"/>
      <x:c r="E8" s="45"/>
      <x:c r="F8" s="45"/>
      <x:c r="G8" s="45"/>
      <x:c r="H8" s="45"/>
      <x:c r="I8" s="45"/>
    </x:row>
    <x:row r="9" ht="28" customHeight="1">
      <x:c r="A9" s="45" t="str">
        <x:v>Destino e prazo</x:v>
      </x:c>
      <x:c r="B9" s="46"/>
      <x:c r="C9" s="45"/>
      <x:c r="D9" s="45"/>
      <x:c r="E9" s="45"/>
      <x:c r="F9" s="45"/>
      <x:c r="G9" s="45"/>
      <x:c r="H9" s="45"/>
      <x:c r="I9" s="45"/>
    </x:row>
    <x:row r="10" ht="28" customHeight="1">
      <x:c r="A10" s="45" t="str">
        <x:v>Dependências e responsáveis</x:v>
      </x:c>
      <x:c r="B10" s="46"/>
      <x:c r="C10" s="45"/>
      <x:c r="D10" s="45"/>
      <x:c r="E10" s="45"/>
      <x:c r="F10" s="45"/>
      <x:c r="G10" s="45"/>
      <x:c r="H10" s="45"/>
      <x:c r="I10" s="45"/>
    </x:row>
    <x:row r="11" ht="28" customHeight="1">
      <x:c r="A11" s="45" t="str">
        <x:v>Meses de prontidão</x:v>
      </x:c>
      <x:c r="B11" s="46" t="n">
        <x:v>12</x:v>
      </x:c>
      <x:c r="C11" s="45"/>
      <x:c r="D11" s="45"/>
      <x:c r="E11" s="45"/>
      <x:c r="F11" s="45"/>
      <x:c r="G11" s="45"/>
      <x:c r="H11" s="45"/>
      <x:c r="I11" s="45"/>
    </x:row>
    <x:row r="12" ht="28" customHeight="1">
      <x:c r="A12" s="45" t="str">
        <x:v>Mensalidade N0</x:v>
      </x:c>
      <x:c r="B12" s="54" t="str">
        <x:f>IF(Custos!B5="","",Custos!B5)</x:f>
      </x:c>
      <x:c r="C12" s="45"/>
      <x:c r="D12" s="45"/>
      <x:c r="E12" s="45"/>
      <x:c r="F12" s="45"/>
      <x:c r="G12" s="45"/>
      <x:c r="H12" s="45"/>
      <x:c r="I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</x:row>
    <x:row r="14" ht="34" customHeight="1">
      <x:c r="A14" s="50" t="str">
        <x:v>Item ou módulo</x:v>
      </x:c>
      <x:c r="B14" s="50" t="str">
        <x:v>Unidade</x:v>
      </x:c>
      <x:c r="C14" s="50" t="str">
        <x:v>Quantidade</x:v>
      </x:c>
      <x:c r="D14" s="50" t="str">
        <x:v>Períodos</x:v>
      </x:c>
      <x:c r="E14" s="50" t="str">
        <x:v>Preço unitário</x:v>
      </x:c>
      <x:c r="F14" s="50" t="str">
        <x:v>Incluído no N0</x:v>
      </x:c>
      <x:c r="G14" s="50" t="str">
        <x:v>Subtotal R$</x:v>
      </x:c>
      <x:c r="H14" s="50" t="str">
        <x:v>Situação</x:v>
      </x:c>
      <x:c r="I14" s="50" t="str">
        <x:v>Fonte e escopo</x:v>
      </x:c>
    </x:row>
    <x:row r="15" ht="38" customHeight="1">
      <x:c r="A15" s="51" t="str">
        <x:v>Leitos</x:v>
      </x:c>
      <x:c r="B15" s="51" t="str">
        <x:v>leito-dia</x:v>
      </x:c>
      <x:c r="C15" s="52" t="n">
        <x:v>0</x:v>
      </x:c>
      <x:c r="D15" s="52" t="n">
        <x:v>1</x:v>
      </x:c>
      <x:c r="E15" s="55"/>
      <x:c r="F15" s="51" t="str">
        <x:v>Não</x:v>
      </x:c>
      <x:c r="G15" s="56" t="n">
        <x:f>IF(C15=0,0,IF(OR(C15&lt;0,D15&lt;=0,E15&lt;0),"",IF(F15="Sim",0,IF(OR(E15="",D15=""),"",C15*D15*E15))))</x:f>
        <x:v>0</x:v>
      </x:c>
      <x:c r="H15" s="47" t="str">
        <x:f>IF(C15=0,"Não acionado",IF(OR(C15&lt;0,D15&lt;=0,E15&lt;0),"Rever valores",IF(F15="Sim","Já incluído",IF(OR(E15="",D15=""),"Preço/período pendente","Calculado"))))</x:f>
        <x:v>Não acionado</x:v>
      </x:c>
      <x:c r="I15" s="51"/>
    </x:row>
    <x:row r="16" ht="38" customHeight="1">
      <x:c r="A16" s="51" t="str">
        <x:v>Laboratório</x:v>
      </x:c>
      <x:c r="B16" s="51" t="str">
        <x:v>módulo-dia</x:v>
      </x:c>
      <x:c r="C16" s="52" t="n">
        <x:v>0</x:v>
      </x:c>
      <x:c r="D16" s="52" t="n">
        <x:v>1</x:v>
      </x:c>
      <x:c r="E16" s="55"/>
      <x:c r="F16" s="51" t="str">
        <x:v>Não</x:v>
      </x:c>
      <x:c r="G16" s="56" t="n">
        <x:f>IF(C16=0,0,IF(OR(C16&lt;0,D16&lt;=0,E16&lt;0),"",IF(F16="Sim",0,IF(OR(E16="",D16=""),"",C16*D16*E16))))</x:f>
        <x:v>0</x:v>
      </x:c>
      <x:c r="H16" s="47" t="str">
        <x:f>IF(C16=0,"Não acionado",IF(OR(C16&lt;0,D16&lt;=0,E16&lt;0),"Rever valores",IF(F16="Sim","Já incluído",IF(OR(E16="",D16=""),"Preço/período pendente","Calculado"))))</x:f>
        <x:v>Não acionado</x:v>
      </x:c>
      <x:c r="I16" s="51"/>
    </x:row>
    <x:row r="17" ht="38" customHeight="1">
      <x:c r="A17" s="51" t="str">
        <x:v>Medicamento — discriminar</x:v>
      </x:c>
      <x:c r="B17" s="51" t="str">
        <x:v>unidade</x:v>
      </x:c>
      <x:c r="C17" s="52" t="n">
        <x:v>0</x:v>
      </x:c>
      <x:c r="D17" s="52" t="n">
        <x:v>1</x:v>
      </x:c>
      <x:c r="E17" s="55"/>
      <x:c r="F17" s="51" t="str">
        <x:v>Não</x:v>
      </x:c>
      <x:c r="G17" s="56" t="n">
        <x:f>IF(C17=0,0,IF(OR(C17&lt;0,D17&lt;=0,E17&lt;0),"",IF(F17="Sim",0,IF(OR(E17="",D17=""),"",C17*D17*E17))))</x:f>
        <x:v>0</x:v>
      </x:c>
      <x:c r="H17" s="47" t="str">
        <x:f>IF(C17=0,"Não acionado",IF(OR(C17&lt;0,D17&lt;=0,E17&lt;0),"Rever valores",IF(F17="Sim","Já incluído",IF(OR(E17="",D17=""),"Preço/período pendente","Calculado"))))</x:f>
        <x:v>Não acionado</x:v>
      </x:c>
      <x:c r="I17" s="51"/>
    </x:row>
    <x:row r="18" ht="38" customHeight="1">
      <x:c r="A18" s="51" t="str">
        <x:v>Insumo — discriminar</x:v>
      </x:c>
      <x:c r="B18" s="51" t="str">
        <x:v>unidade</x:v>
      </x:c>
      <x:c r="C18" s="52" t="n">
        <x:v>0</x:v>
      </x:c>
      <x:c r="D18" s="52" t="n">
        <x:v>1</x:v>
      </x:c>
      <x:c r="E18" s="55"/>
      <x:c r="F18" s="51" t="str">
        <x:v>Não</x:v>
      </x:c>
      <x:c r="G18" s="56" t="n">
        <x:f>IF(C18=0,0,IF(OR(C18&lt;0,D18&lt;=0,E18&lt;0),"",IF(F18="Sim",0,IF(OR(E18="",D18=""),"",C18*D18*E18))))</x:f>
        <x:v>0</x:v>
      </x:c>
      <x:c r="H18" s="47" t="str">
        <x:f>IF(C18=0,"Não acionado",IF(OR(C18&lt;0,D18&lt;=0,E18&lt;0),"Rever valores",IF(F18="Sim","Já incluído",IF(OR(E18="",D18=""),"Preço/período pendente","Calculado"))))</x:f>
        <x:v>Não acionado</x:v>
      </x:c>
      <x:c r="I18" s="51"/>
    </x:row>
    <x:row r="19" ht="38" customHeight="1">
      <x:c r="A19" s="51" t="str">
        <x:v>Transporte</x:v>
      </x:c>
      <x:c r="B19" s="51" t="str">
        <x:v>evento</x:v>
      </x:c>
      <x:c r="C19" s="52" t="n">
        <x:v>0</x:v>
      </x:c>
      <x:c r="D19" s="52" t="n">
        <x:v>1</x:v>
      </x:c>
      <x:c r="E19" s="55"/>
      <x:c r="F19" s="51" t="str">
        <x:v>Não</x:v>
      </x:c>
      <x:c r="G19" s="56" t="n">
        <x:f>IF(C19=0,0,IF(OR(C19&lt;0,D19&lt;=0,E19&lt;0),"",IF(F19="Sim",0,IF(OR(E19="",D19=""),"",C19*D19*E19))))</x:f>
        <x:v>0</x:v>
      </x:c>
      <x:c r="H19" s="47" t="str">
        <x:f>IF(C19=0,"Não acionado",IF(OR(C19&lt;0,D19&lt;=0,E19&lt;0),"Rever valores",IF(F19="Sim","Já incluído",IF(OR(E19="",D19=""),"Preço/período pendente","Calculado"))))</x:f>
        <x:v>Não acionado</x:v>
      </x:c>
      <x:c r="I19" s="51"/>
    </x:row>
    <x:row r="20" ht="38" customHeight="1">
      <x:c r="A20" s="51" t="str">
        <x:v>Implantação</x:v>
      </x:c>
      <x:c r="B20" s="51" t="str">
        <x:v>evento</x:v>
      </x:c>
      <x:c r="C20" s="52" t="n">
        <x:v>0</x:v>
      </x:c>
      <x:c r="D20" s="52" t="n">
        <x:v>1</x:v>
      </x:c>
      <x:c r="E20" s="55"/>
      <x:c r="F20" s="51" t="str">
        <x:v>Não</x:v>
      </x:c>
      <x:c r="G20" s="56" t="n">
        <x:f>IF(C20=0,0,IF(OR(C20&lt;0,D20&lt;=0,E20&lt;0),"",IF(F20="Sim",0,IF(OR(E20="",D20=""),"",C20*D20*E20))))</x:f>
        <x:v>0</x:v>
      </x:c>
      <x:c r="H20" s="47" t="str">
        <x:f>IF(C20=0,"Não acionado",IF(OR(C20&lt;0,D20&lt;=0,E20&lt;0),"Rever valores",IF(F20="Sim","Já incluído",IF(OR(E20="",D20=""),"Preço/período pendente","Calculado"))))</x:f>
        <x:v>Não acionado</x:v>
      </x:c>
      <x:c r="I20" s="51"/>
    </x:row>
    <x:row r="21" ht="38" customHeight="1">
      <x:c r="A21" s="51" t="str">
        <x:v>Equipe</x:v>
      </x:c>
      <x:c r="B21" s="51" t="str">
        <x:v>equipe-dia</x:v>
      </x:c>
      <x:c r="C21" s="52" t="n">
        <x:v>0</x:v>
      </x:c>
      <x:c r="D21" s="52" t="n">
        <x:v>1</x:v>
      </x:c>
      <x:c r="E21" s="55"/>
      <x:c r="F21" s="51" t="str">
        <x:v>Não</x:v>
      </x:c>
      <x:c r="G21" s="56" t="n">
        <x:f>IF(C21=0,0,IF(OR(C21&lt;0,D21&lt;=0,E21&lt;0),"",IF(F21="Sim",0,IF(OR(E21="",D21=""),"",C21*D21*E21))))</x:f>
        <x:v>0</x:v>
      </x:c>
      <x:c r="H21" s="47" t="str">
        <x:f>IF(C21=0,"Não acionado",IF(OR(C21&lt;0,D21&lt;=0,E21&lt;0),"Rever valores",IF(F21="Sim","Já incluído",IF(OR(E21="",D21=""),"Preço/período pendente","Calculado"))))</x:f>
        <x:v>Não acionado</x:v>
      </x:c>
      <x:c r="I21" s="51"/>
    </x:row>
    <x:row r="22" ht="38" customHeight="1">
      <x:c r="A22" s="51" t="str">
        <x:v>Suporte compartilhado</x:v>
      </x:c>
      <x:c r="B22" s="51" t="str">
        <x:v>módulo-dia</x:v>
      </x:c>
      <x:c r="C22" s="52" t="n">
        <x:v>0</x:v>
      </x:c>
      <x:c r="D22" s="52" t="n">
        <x:v>1</x:v>
      </x:c>
      <x:c r="E22" s="55"/>
      <x:c r="F22" s="51" t="str">
        <x:v>Não</x:v>
      </x:c>
      <x:c r="G22" s="56" t="n">
        <x:f>IF(C22=0,0,IF(OR(C22&lt;0,D22&lt;=0,E22&lt;0),"",IF(F22="Sim",0,IF(OR(E22="",D22=""),"",C22*D22*E22))))</x:f>
        <x:v>0</x:v>
      </x:c>
      <x:c r="H22" s="47" t="str">
        <x:f>IF(C22=0,"Não acionado",IF(OR(C22&lt;0,D22&lt;=0,E22&lt;0),"Rever valores",IF(F22="Sim","Já incluído",IF(OR(E22="",D22=""),"Preço/período pendente","Calculado"))))</x:f>
        <x:v>Não acionado</x:v>
      </x:c>
      <x:c r="I22" s="51"/>
    </x:row>
    <x:row r="23" ht="38" customHeight="1">
      <x:c r="A23" s="51" t="str">
        <x:v>Desmobilização</x:v>
      </x:c>
      <x:c r="B23" s="51" t="str">
        <x:v>evento</x:v>
      </x:c>
      <x:c r="C23" s="52" t="n">
        <x:v>0</x:v>
      </x:c>
      <x:c r="D23" s="52" t="n">
        <x:v>1</x:v>
      </x:c>
      <x:c r="E23" s="55"/>
      <x:c r="F23" s="51" t="str">
        <x:v>Não</x:v>
      </x:c>
      <x:c r="G23" s="56" t="n">
        <x:f>IF(C23=0,0,IF(OR(C23&lt;0,D23&lt;=0,E23&lt;0),"",IF(F23="Sim",0,IF(OR(E23="",D23=""),"",C23*D23*E23))))</x:f>
        <x:v>0</x:v>
      </x:c>
      <x:c r="H23" s="47" t="str">
        <x:f>IF(C23=0,"Não acionado",IF(OR(C23&lt;0,D23&lt;=0,E23&lt;0),"Rever valores",IF(F23="Sim","Já incluído",IF(OR(E23="",D23=""),"Preço/período pendente","Calculado"))))</x:f>
        <x:v>Não acionado</x:v>
      </x:c>
      <x:c r="I23" s="51"/>
    </x:row>
    <x:row r="24" ht="38" customHeight="1">
      <x:c r="A24" s="58" t="str">
        <x:v>Manutenção ordinária</x:v>
      </x:c>
      <x:c r="B24" s="58" t="str">
        <x:v>incluída</x:v>
      </x:c>
      <x:c r="C24" s="59" t="n">
        <x:v>0</x:v>
      </x:c>
      <x:c r="D24" s="59" t="n">
        <x:v>1</x:v>
      </x:c>
      <x:c r="E24" s="60" t="n">
        <x:v>0</x:v>
      </x:c>
      <x:c r="F24" s="58" t="str">
        <x:v>Sim</x:v>
      </x:c>
      <x:c r="G24" s="56" t="n">
        <x:f>0</x:f>
        <x:v>0</x:v>
      </x:c>
      <x:c r="H24" s="47" t="str">
        <x:v>Incluída no N0</x:v>
      </x:c>
      <x:c r="I24" s="51" t="str">
        <x:v>Custeada pela empresa</x:v>
      </x:c>
    </x:row>
    <x:row r="25" ht="38" customHeight="1">
      <x:c r="A25" s="51" t="str">
        <x:v>Item adicional 1</x:v>
      </x:c>
      <x:c r="B25" s="51" t="str">
        <x:v>unidade</x:v>
      </x:c>
      <x:c r="C25" s="52" t="n">
        <x:v>0</x:v>
      </x:c>
      <x:c r="D25" s="52" t="n">
        <x:v>1</x:v>
      </x:c>
      <x:c r="E25" s="55"/>
      <x:c r="F25" s="51" t="str">
        <x:v>Não</x:v>
      </x:c>
      <x:c r="G25" s="56" t="n">
        <x:f>IF(C25=0,0,IF(OR(C25&lt;0,D25&lt;=0,E25&lt;0),"",IF(F25="Sim",0,IF(OR(E25="",D25=""),"",C25*D25*E25))))</x:f>
        <x:v>0</x:v>
      </x:c>
      <x:c r="H25" s="47" t="str">
        <x:f>IF(C25=0,"Não acionado",IF(OR(C25&lt;0,D25&lt;=0,E25&lt;0),"Rever valores",IF(F25="Sim","Já incluído",IF(OR(E25="",D25=""),"Preço/período pendente","Calculado"))))</x:f>
        <x:v>Não acionado</x:v>
      </x:c>
      <x:c r="I25" s="51"/>
    </x:row>
    <x:row r="26" ht="38" customHeight="1">
      <x:c r="A26" s="51" t="str">
        <x:v>Item adicional 2</x:v>
      </x:c>
      <x:c r="B26" s="51" t="str">
        <x:v>unidade</x:v>
      </x:c>
      <x:c r="C26" s="52" t="n">
        <x:v>0</x:v>
      </x:c>
      <x:c r="D26" s="52" t="n">
        <x:v>1</x:v>
      </x:c>
      <x:c r="E26" s="55"/>
      <x:c r="F26" s="51" t="str">
        <x:v>Não</x:v>
      </x:c>
      <x:c r="G26" s="56" t="n">
        <x:f>IF(C26=0,0,IF(OR(C26&lt;0,D26&lt;=0,E26&lt;0),"",IF(F26="Sim",0,IF(OR(E26="",D26=""),"",C26*D26*E26))))</x:f>
        <x:v>0</x:v>
      </x:c>
      <x:c r="H26" s="47" t="str">
        <x:f>IF(C26=0,"Não acionado",IF(OR(C26&lt;0,D26&lt;=0,E26&lt;0),"Rever valores",IF(F26="Sim","Já incluído",IF(OR(E26="",D26=""),"Preço/período pendente","Calculado"))))</x:f>
        <x:v>Não acionado</x:v>
      </x:c>
      <x:c r="I26" s="51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</x:row>
    <x:row r="28">
      <x:c r="A28" s="53" t="str">
        <x:v>Custo variável da missão</x:v>
      </x:c>
      <x:c r="B28" s="57" t="n">
        <x:f>IF(COUNT(G15:G26)&lt;12,"PENDENTE",SUM(G15:G26))</x:f>
        <x:v>0</x:v>
      </x:c>
      <x:c r="C28" s="45"/>
      <x:c r="D28" s="45"/>
      <x:c r="E28" s="45"/>
      <x:c r="F28" s="45"/>
      <x:c r="G28" s="45"/>
      <x:c r="H28" s="45"/>
      <x:c r="I28" s="45"/>
    </x:row>
    <x:row r="29">
      <x:c r="A29" s="53" t="str">
        <x:v>Custo N0 no período</x:v>
      </x:c>
      <x:c r="B29" s="57" t="str">
        <x:f>IF(OR(B11="",B12=""),"PENDENTE",B11*B12)</x:f>
        <x:v>PENDENTE</x:v>
      </x:c>
      <x:c r="C29" s="45"/>
      <x:c r="D29" s="45"/>
      <x:c r="E29" s="45"/>
      <x:c r="F29" s="45"/>
      <x:c r="G29" s="45"/>
      <x:c r="H29" s="45"/>
      <x:c r="I29" s="45"/>
    </x:row>
    <x:row r="30">
      <x:c r="A30" s="53" t="str">
        <x:v>Total estimado</x:v>
      </x:c>
      <x:c r="B30" s="57" t="str">
        <x:f>IF(COUNT(B28:B29)&lt;2,"PENDENTE",SUM(B28:B29))</x:f>
        <x:v>PENDENTE</x:v>
      </x:c>
      <x:c r="C30" s="45"/>
      <x:c r="D30" s="45"/>
      <x:c r="E30" s="45"/>
      <x:c r="F30" s="45"/>
      <x:c r="G30" s="45"/>
      <x:c r="H30" s="45"/>
      <x:c r="I30" s="45"/>
    </x:row>
    <x:row r="31">
      <x:c r="A31" s="45" t="str">
        <x:v>Itens acionados sem cálculo</x:v>
      </x:c>
      <x:c r="B31" s="45" t="n">
        <x:f>12-COUNT(G15:G26)</x:f>
        <x:v>0</x:v>
      </x:c>
      <x:c r="C31" s="45"/>
      <x:c r="D31" s="45"/>
      <x:c r="E31" s="45"/>
      <x:c r="F31" s="45"/>
      <x:c r="G31" s="45"/>
      <x:c r="H31" s="45"/>
      <x:c r="I31" s="45"/>
    </x:row>
    <x:row r="32" ht="40" customHeight="1">
      <x:c r="A32" s="45" t="str">
        <x:v>Instrução para autorização</x:v>
      </x:c>
      <x:c r="B32" s="47" t="str">
        <x:f>IF(OR(B4="A definir",COUNTBLANK(B6:B10)&gt;0),"PENDENTE","Documentos informados; conferir ato")</x:f>
        <x:v>PENDENTE</x:v>
      </x:c>
      <x:c r="C32" s="45"/>
      <x:c r="D32" s="45"/>
      <x:c r="E32" s="45"/>
      <x:c r="F32" s="45"/>
      <x:c r="G32" s="45"/>
      <x:c r="H32" s="45"/>
      <x:c r="I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</x:row>
    <x:row r="34">
      <x:c r="A34" s="45" t="str">
        <x:v>Regras de preenchimento</x:v>
      </x:c>
      <x:c r="B34" s="45"/>
      <x:c r="C34" s="45"/>
      <x:c r="D34" s="45"/>
      <x:c r="E34" s="45"/>
      <x:c r="F34" s="45"/>
      <x:c r="G34" s="45"/>
      <x:c r="H34" s="45"/>
      <x:c r="I34" s="45"/>
    </x:row>
    <x:row r="35" ht="30" customHeight="1">
      <x:c r="A35" s="47" t="str">
        <x:v>N0 é remunerado mesmo sem uso, mediante disponibilidade comprovada. Manutenção ordinária está incluída nos preços.</x:v>
      </x:c>
      <x:c r="B35" s="47"/>
      <x:c r="C35" s="47"/>
      <x:c r="D35" s="47"/>
      <x:c r="E35" s="47"/>
      <x:c r="F35" s="47"/>
      <x:c r="G35" s="47"/>
      <x:c r="H35" s="47"/>
      <x:c r="I35" s="47"/>
    </x:row>
    <x:row r="36" ht="30" customHeight="1">
      <x:c r="A36" s="47" t="str">
        <x:v>N1 a N4 são referenciais. Quantidade zero significa item não acionado. Preço vazio mantém o cálculo pendente.</x:v>
      </x:c>
      <x:c r="B36" s="47"/>
      <x:c r="C36" s="47"/>
      <x:c r="D36" s="47"/>
      <x:c r="E36" s="47"/>
      <x:c r="F36" s="47"/>
      <x:c r="G36" s="47"/>
      <x:c r="H36" s="47"/>
      <x:c r="I36" s="47"/>
    </x:row>
    <x:row r="37" ht="30" customHeight="1">
      <x:c r="A37" s="47" t="str">
        <x:v>Em leito-dia ou módulo-dia, informe unidades em Quantidade e dias em Períodos. Fornecimento unitário usa Períodos = 1.</x:v>
      </x:c>
      <x:c r="B37" s="47"/>
      <x:c r="C37" s="47"/>
      <x:c r="D37" s="47"/>
      <x:c r="E37" s="47"/>
      <x:c r="F37" s="47"/>
      <x:c r="G37" s="47"/>
      <x:c r="H37" s="47"/>
      <x:c r="I37" s="47"/>
    </x:row>
    <x:row r="38" ht="30" customHeight="1">
      <x:c r="A38" s="47" t="str">
        <x:v>Dez leitos: selecione leitos e suportes necessários. Laboratório isolado: selecione laboratório e suas dependências.</x:v>
      </x:c>
      <x:c r="B38" s="47"/>
      <x:c r="C38" s="47"/>
      <x:c r="D38" s="47"/>
      <x:c r="E38" s="47"/>
      <x:c r="F38" s="47"/>
      <x:c r="G38" s="47"/>
      <x:c r="H38" s="47"/>
      <x:c r="I38" s="47"/>
    </x:row>
    <x:row r="39" ht="30" customHeight="1">
      <x:c r="A39" s="47" t="str">
        <x:v>Medicamentos isolados: discrimine apresentação e unidade, quantidade, fonte do preço, conservação e entrega. Não selecione montagem inexistente.</x:v>
      </x:c>
      <x:c r="B39" s="47"/>
      <x:c r="C39" s="47"/>
      <x:c r="D39" s="47"/>
      <x:c r="E39" s="47"/>
      <x:c r="F39" s="47"/>
      <x:c r="G39" s="47"/>
      <x:c r="H39" s="47"/>
      <x:c r="I39" s="47"/>
    </x:row>
    <x:row r="40" ht="30" customHeight="1">
      <x:c r="A40" s="47" t="str">
        <x:v>Não duplique suportes. Marque Incluído no N0 quando já remunerado. Para item incluso, o subtotal variável é zero.</x:v>
      </x:c>
      <x:c r="B40" s="47"/>
      <x:c r="C40" s="47"/>
      <x:c r="D40" s="47"/>
      <x:c r="E40" s="47"/>
      <x:c r="F40" s="47"/>
      <x:c r="G40" s="47"/>
      <x:c r="H40" s="47"/>
      <x:c r="I40" s="47"/>
    </x:row>
    <x:row r="41" ht="30" customHeight="1">
      <x:c r="A41" s="47" t="str">
        <x:v>A autorização cabe ao Secretário com documentação, risco e cenários. Documentos informados não significam autorização concedida.</x:v>
      </x:c>
      <x:c r="B41" s="47"/>
      <x:c r="C41" s="47"/>
      <x:c r="D41" s="47"/>
      <x:c r="E41" s="47"/>
      <x:c r="F41" s="47"/>
      <x:c r="G41" s="47"/>
      <x:c r="H41" s="47"/>
      <x:c r="I41" s="47"/>
    </x:row>
    <x:row r="42" ht="30" customHeight="1">
      <x:c r="A42" s="47" t="str">
        <x:v>Esta aba estima uma missão. Para múltiplas missões, some parcelas variáveis e conte o N0 somente uma vez no mesmo período.</x:v>
      </x:c>
      <x:c r="B42" s="47"/>
      <x:c r="C42" s="47"/>
      <x:c r="D42" s="47"/>
      <x:c r="E42" s="47"/>
      <x:c r="F42" s="47"/>
      <x:c r="G42" s="47"/>
      <x:c r="H42" s="47"/>
      <x:c r="I42" s="47"/>
    </x:row>
    <x:row r="43" ht="30" customHeight="1">
      <x:c r="A43" s="47" t="str">
        <x:v>Fonte das premissas: orientação de projeto de 28/09/2026. Preços devem ter pesquisa e validação antes da contratação.</x:v>
      </x:c>
      <x:c r="B43" s="47"/>
      <x:c r="C43" s="47"/>
      <x:c r="D43" s="47"/>
      <x:c r="E43" s="47"/>
      <x:c r="F43" s="47"/>
      <x:c r="G43" s="47"/>
      <x:c r="H43" s="47"/>
      <x:c r="I43" s="47"/>
    </x:row>
  </x:sheetData>
  <x:mergeCells>
    <x:mergeCell ref="A35:I35"/>
    <x:mergeCell ref="A36:I36"/>
    <x:mergeCell ref="A37:I37"/>
    <x:mergeCell ref="A38:I38"/>
    <x:mergeCell ref="A39:I39"/>
    <x:mergeCell ref="A40:I40"/>
    <x:mergeCell ref="A41:I41"/>
    <x:mergeCell ref="A42:I42"/>
    <x:mergeCell ref="A43:I43"/>
  </x:mergeCells>
  <x:dataValidations count="2">
    <x:dataValidation type="list" sqref="F15:F26">
      <x:formula1>"Sim,Não"</x:formula1>
    </x:dataValidation>
    <x:dataValidation type="list" sqref="B4">
      <x:formula1>"A definir,Sem ativação,Dez leitos,Laboratório isolado,Medicamentos isolados,Configuração mista"</x:formula1>
    </x:dataValidation>
  </x:dataValidations>
  <x:pageMargins left="0.7" right="0.7" top="0.75" bottom="0.75" header="0.3" footer="0.3"/>
</x:worksheet>
</file>