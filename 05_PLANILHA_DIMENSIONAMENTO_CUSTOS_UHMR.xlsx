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e414a853c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0a3710acda14dc4"/>
    <x:sheet xmlns:r="http://schemas.openxmlformats.org/officeDocument/2006/relationships" name="Premissas" sheetId="2" r:id="R3a932abfe84d4ea3"/>
    <x:sheet xmlns:r="http://schemas.openxmlformats.org/officeDocument/2006/relationships" name="Niveis" sheetId="3" r:id="R5bb887e00d4144df"/>
    <x:sheet xmlns:r="http://schemas.openxmlformats.org/officeDocument/2006/relationships" name="Custos" sheetId="4" r:id="R251e92f2c9554fe3"/>
    <x:sheet xmlns:r="http://schemas.openxmlformats.org/officeDocument/2006/relationships" name="Cenarios" sheetId="5" r:id="Rb3971835b58b4fe4"/>
    <x:sheet xmlns:r="http://schemas.openxmlformats.org/officeDocument/2006/relationships" name="Equipes" sheetId="6" r:id="Rff2e21c0dc9a4789"/>
    <x:sheet xmlns:r="http://schemas.openxmlformats.org/officeDocument/2006/relationships" name="Equipamentos" sheetId="7" r:id="R073bbafe1e3846d1"/>
    <x:sheet xmlns:r="http://schemas.openxmlformats.org/officeDocument/2006/relationships" name="SLA" sheetId="8" r:id="R5d69c85457c44c5b"/>
    <x:sheet xmlns:r="http://schemas.openxmlformats.org/officeDocument/2006/relationships" name="Riscos" sheetId="9" r:id="Rccf5171a44b64814"/>
    <x:sheet xmlns:r="http://schemas.openxmlformats.org/officeDocument/2006/relationships" name="Dados Estado" sheetId="10" r:id="R8934f9d1d0204f08"/>
    <x:sheet xmlns:r="http://schemas.openxmlformats.org/officeDocument/2006/relationships" name="Pendencias" sheetId="11" r:id="Rbd08f5de92bc4d9b"/>
    <x:sheet xmlns:r="http://schemas.openxmlformats.org/officeDocument/2006/relationships" name="Fontes" sheetId="12" r:id="R75194dcbf7964754"/>
    <x:sheet xmlns:r="http://schemas.openxmlformats.org/officeDocument/2006/relationships" name="Acionamento" sheetId="13" r:id="R8d545b22e7a1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0.0%"/>
    <x:numFmt numFmtId="202" formatCode="&quot;R$&quot; #,##0.00"/>
  </x:numFmts>
  <x:fonts count="14">
    <x:font>
      <x:sz val="11"/>
      <x:name val="Carlito"/>
    </x:font>
    <x:font>
      <x:b/>
      <x:sz val="15"/>
      <x:color rgb="FF000000"/>
      <x:name val="Arial"/>
    </x:font>
    <x:font>
      <x:i/>
      <x:sz val="9"/>
      <x:color rgb="FF666666"/>
      <x:name val="Arial"/>
    </x:font>
    <x:font>
      <x:b/>
      <x:sz val="10"/>
      <x:color rgb="FF000000"/>
      <x:name val="Arial"/>
    </x:font>
    <x:font>
      <x:b/>
      <x:sz val="9"/>
      <x:color rgb="FFFFFFFF"/>
      <x:name val="Arial"/>
    </x:font>
    <x:font>
      <x:sz val="9"/>
      <x:color rgb="FF000000"/>
      <x:name val="Arial"/>
    </x:font>
    <x:font>
      <x:sz val="10"/>
      <x:name val="Arial"/>
    </x:font>
    <x:font>
      <x:b/>
      <x:sz val="9"/>
      <x:color rgb="FF000000"/>
      <x:name val="Arial"/>
    </x:font>
    <x:font>
      <x:b/>
      <x:sz val="16"/>
      <x:color rgb="FF003966"/>
      <x:name val="Arial"/>
    </x:font>
    <x:font>
      <x:sz val="11"/>
      <x:color rgb="FF0000FF"/>
      <x:name val="Carlito"/>
    </x:font>
    <x:font>
      <x:sz val="11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7EEF5"/>
      </x:patternFill>
    </x:fill>
  </x:fills>
  <x:borders count="6">
    <x:border/>
    <x:border>
      <x:bottom style="thin">
        <x:color rgb="FF1F4E78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center" wrapText="1"/>
    </x:xf>
    <x:xf numFmtId="200" fontId="5" fillId="4" borderId="5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202" fontId="10" fillId="0" borderId="0" xfId="0" applyNumberFormat="1" applyFont="1" applyFill="1" applyBorder="1"/>
    <x:xf numFmtId="202" fontId="11" fillId="5" borderId="0" xfId="0" applyNumberFormat="1" applyFont="1" applyFill="1" applyBorder="1" applyAlignment="1">
      <x:alignment wrapText="1"/>
    </x:xf>
    <x:xf numFmtId="202" fontId="10" fillId="0" borderId="0" xfId="0" applyNumberFormat="1" applyFont="1" applyFill="1" applyBorder="1" applyAlignment="1">
      <x:alignment wrapText="1"/>
    </x:xf>
    <x:xf numFmtId="202" fontId="13" fillId="0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wrapText="1"/>
    </x:xf>
    <x:xf numFmtId="202" fontId="11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9878188844958" /><Relationship Type="http://schemas.openxmlformats.org/officeDocument/2006/relationships/theme" Target="/xl/theme/theme1.xml" Id="Rdc50c97817684467" /><Relationship Type="http://schemas.openxmlformats.org/officeDocument/2006/relationships/sharedStrings" Target="/xl/sharedStrings.xml" Id="R3508b5380cb04b6a" /><Relationship Type="http://schemas.openxmlformats.org/officeDocument/2006/relationships/worksheet" Target="/xl/worksheets/sheet1.xml" Id="R30a3710acda14dc4" /><Relationship Type="http://schemas.openxmlformats.org/officeDocument/2006/relationships/worksheet" Target="/xl/worksheets/sheet2.xml" Id="R3a932abfe84d4ea3" /><Relationship Type="http://schemas.openxmlformats.org/officeDocument/2006/relationships/worksheet" Target="/xl/worksheets/sheet3.xml" Id="R5bb887e00d4144df" /><Relationship Type="http://schemas.openxmlformats.org/officeDocument/2006/relationships/worksheet" Target="/xl/worksheets/sheet4.xml" Id="R251e92f2c9554fe3" /><Relationship Type="http://schemas.openxmlformats.org/officeDocument/2006/relationships/worksheet" Target="/xl/worksheets/sheet5.xml" Id="Rb3971835b58b4fe4" /><Relationship Type="http://schemas.openxmlformats.org/officeDocument/2006/relationships/worksheet" Target="/xl/worksheets/sheet6.xml" Id="Rff2e21c0dc9a4789" /><Relationship Type="http://schemas.openxmlformats.org/officeDocument/2006/relationships/worksheet" Target="/xl/worksheets/sheet7.xml" Id="R073bbafe1e3846d1" /><Relationship Type="http://schemas.openxmlformats.org/officeDocument/2006/relationships/worksheet" Target="/xl/worksheets/sheet8.xml" Id="R5d69c85457c44c5b" /><Relationship Type="http://schemas.openxmlformats.org/officeDocument/2006/relationships/worksheet" Target="/xl/worksheets/sheet9.xml" Id="Rccf5171a44b64814" /><Relationship Type="http://schemas.openxmlformats.org/officeDocument/2006/relationships/worksheet" Target="/xl/worksheets/sheet10.xml" Id="R8934f9d1d0204f08" /><Relationship Type="http://schemas.openxmlformats.org/officeDocument/2006/relationships/worksheet" Target="/xl/worksheets/sheet11.xml" Id="Rbd08f5de92bc4d9b" /><Relationship Type="http://schemas.openxmlformats.org/officeDocument/2006/relationships/worksheet" Target="/xl/worksheets/sheet12.xml" Id="R75194dcbf7964754" /><Relationship Type="http://schemas.openxmlformats.org/officeDocument/2006/relationships/worksheet" Target="/xl/worksheets/sheet13.xml" Id="R8d545b22e7a14a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9" hidden="0" customWidth="1"/>
    <x:col min="4" max="4" width="15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6" customHeight="1">
      <x:c r="A1" s="2" t="str">
        <x:v>Planejamento e dimensionamento da UHMR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Modelo editável para custos, cenários, SLA, riscos e dados estaduais. Campos amarelos exigem preenchimento institucional.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9" t="str">
        <x:v>Situação do planejamento</x:v>
      </x:c>
      <x:c r="B5" s="10" t="str">
        <x:v>Situação do planejamento</x:v>
      </x:c>
      <x:c r="C5" s="10" t="str">
        <x:v>Situação do planejamento</x:v>
      </x:c>
      <x:c r="D5" s="10" t="str">
        <x:v>Situação do planejamento</x:v>
      </x:c>
      <x:c r="E5" s="10" t="str">
        <x:v>Situação do planejamento</x:v>
      </x:c>
      <x:c r="F5" s="10" t="str">
        <x:v>Situação do planejamento</x:v>
      </x:c>
      <x:c r="G5" s="10" t="str">
        <x:v>Situação do planejamento</x:v>
      </x:c>
      <x:c r="H5" s="11" t="str">
        <x:v>Situação do planejamento</x:v>
      </x:c>
    </x:row>
    <x:row r="6">
      <x:c r="A6" s="17" t="str">
        <x:v>Campo</x:v>
      </x:c>
      <x:c r="B6" s="17" t="str">
        <x:v>Resultado</x:v>
      </x:c>
      <x:c r="C6" s="34"/>
      <x:c r="D6" s="34"/>
      <x:c r="E6" s="34"/>
      <x:c r="F6" s="34"/>
      <x:c r="G6" s="34"/>
      <x:c r="H6" s="34"/>
    </x:row>
    <x:row r="7">
      <x:c r="A7" s="21" t="str">
        <x:v>Cenário selecionado</x:v>
      </x:c>
      <x:c r="B7" s="22" t="str">
        <x:v>Base</x:v>
      </x:c>
      <x:c r="C7" s="34"/>
      <x:c r="D7" s="34"/>
      <x:c r="E7" s="34"/>
      <x:c r="F7" s="34"/>
      <x:c r="G7" s="34"/>
      <x:c r="H7" s="34"/>
    </x:row>
    <x:row r="8">
      <x:c r="A8" s="21" t="str">
        <x:v>Custo anual estimado</x:v>
      </x:c>
      <x:c r="B8" s="23" t="str">
        <x:f>IFERROR(INDEX(Cenarios!$J$6:$J$9,MATCH(B7,Cenarios!$A$6:$A$9,0)),"PENDENTE")</x:f>
      </x:c>
      <x:c r="C8" s="34"/>
      <x:c r="D8" s="34"/>
      <x:c r="E8" s="34"/>
      <x:c r="F8" s="34"/>
      <x:c r="G8" s="34"/>
      <x:c r="H8" s="34"/>
    </x:row>
    <x:row r="9">
      <x:c r="A9" s="21" t="str">
        <x:v>Itens de custo pendentes</x:v>
      </x:c>
      <x:c r="B9" s="21" t="n">
        <x:f>COUNTBLANK(Custos!$D$6:$D$15)</x:f>
        <x:v>10</x:v>
      </x:c>
      <x:c r="C9" s="34"/>
      <x:c r="D9" s="34"/>
      <x:c r="E9" s="34"/>
      <x:c r="F9" s="34"/>
      <x:c r="G9" s="34"/>
      <x:c r="H9" s="34"/>
    </x:row>
    <x:row r="10">
      <x:c r="A10" s="21" t="str">
        <x:v>Decisões pendentes</x:v>
      </x:c>
      <x:c r="B10" s="21" t="n">
        <x:f>COUNTIF(Pendencias!$F$7:$F$24,"&lt;&gt;Concluída")</x:f>
        <x:v>18</x:v>
      </x:c>
      <x:c r="C10" s="34"/>
      <x:c r="D10" s="34"/>
      <x:c r="E10" s="34"/>
      <x:c r="F10" s="34"/>
      <x:c r="G10" s="34"/>
      <x:c r="H10" s="34"/>
    </x:row>
    <x:row r="11">
      <x:c r="A11" s="34"/>
      <x:c r="B11" s="34"/>
      <x:c r="C11" s="34"/>
      <x:c r="D11" s="34"/>
      <x:c r="E11" s="34"/>
      <x:c r="F11" s="34"/>
      <x:c r="G11" s="34"/>
      <x:c r="H11" s="34"/>
    </x:row>
    <x:row r="12">
      <x:c r="A12" s="9" t="str">
        <x:v>Arquitetura de resposta</x:v>
      </x:c>
      <x:c r="B12" s="10" t="str">
        <x:v>Arquitetura de resposta</x:v>
      </x:c>
      <x:c r="C12" s="10" t="str">
        <x:v>Arquitetura de resposta</x:v>
      </x:c>
      <x:c r="D12" s="10" t="str">
        <x:v>Arquitetura de resposta</x:v>
      </x:c>
      <x:c r="E12" s="10" t="str">
        <x:v>Arquitetura de resposta</x:v>
      </x:c>
      <x:c r="F12" s="10" t="str">
        <x:v>Arquitetura de resposta</x:v>
      </x:c>
      <x:c r="G12" s="10" t="str">
        <x:v>Arquitetura de resposta</x:v>
      </x:c>
      <x:c r="H12" s="11" t="str">
        <x:v>Arquitetura de resposta</x:v>
      </x:c>
    </x:row>
    <x:row r="13">
      <x:c r="A13" s="17" t="str">
        <x:v>Nível</x:v>
      </x:c>
      <x:c r="B13" s="17" t="str">
        <x:v>Capacidade</x:v>
      </x:c>
      <x:c r="C13" s="17" t="str">
        <x:v>Escopo</x:v>
      </x:c>
      <x:c r="D13" s="17" t="str">
        <x:v>Meta</x:v>
      </x:c>
      <x:c r="E13" s="17" t="str">
        <x:v>Pagamento</x:v>
      </x:c>
      <x:c r="F13" s="34"/>
      <x:c r="G13" s="34"/>
      <x:c r="H13" s="34"/>
    </x:row>
    <x:row r="14">
      <x:c r="A14" s="21" t="str">
        <x:v>N0</x:v>
      </x:c>
      <x:c r="B14" s="21" t="str">
        <x:v>Prontidão</x:v>
      </x:c>
      <x:c r="C14" s="21" t="str">
        <x:v>Inventário, testes, manutenção e simulação</x:v>
      </x:c>
      <x:c r="D14" s="21" t="str">
        <x:v>Permanente</x:v>
      </x:c>
      <x:c r="E14" s="21" t="str">
        <x:v>Mensal</x:v>
      </x:c>
      <x:c r="F14" s="34"/>
      <x:c r="G14" s="34"/>
      <x:c r="H14" s="34"/>
    </x:row>
    <x:row r="15">
      <x:c r="A15" s="21" t="str">
        <x:v>N1</x:v>
      </x:c>
      <x:c r="B15" s="21" t="str">
        <x:v>2–4 críticos e 6–12 observação</x:v>
      </x:c>
      <x:c r="C15" s="21" t="str">
        <x:v>Triagem e estabilização</x:v>
      </x:c>
      <x:c r="D15" s="21" t="str">
        <x:v>6–12 h</x:v>
      </x:c>
      <x:c r="E15" s="21" t="str">
        <x:v>Evento e diária</x:v>
      </x:c>
      <x:c r="F15" s="34"/>
      <x:c r="G15" s="34"/>
      <x:c r="H15" s="34"/>
    </x:row>
    <x:row r="16">
      <x:c r="A16" s="21" t="str">
        <x:v>N2</x:v>
      </x:c>
      <x:c r="B16" s="21" t="str">
        <x:v>12–20 leitos e 4 críticos</x:v>
      </x:c>
      <x:c r="C16" s="21" t="str">
        <x:v>Assistência ampliada</x:v>
      </x:c>
      <x:c r="D16" s="21" t="str">
        <x:v>Até 18 h</x:v>
      </x:c>
      <x:c r="E16" s="21" t="str">
        <x:v>Evento e diária</x:v>
      </x:c>
      <x:c r="F16" s="34"/>
      <x:c r="G16" s="34"/>
      <x:c r="H16" s="34"/>
    </x:row>
    <x:row r="17">
      <x:c r="A17" s="21" t="str">
        <x:v>N3</x:v>
      </x:c>
      <x:c r="B17" s="21" t="str">
        <x:v>18–30 leitos, 4 críticos e cirurgia</x:v>
      </x:c>
      <x:c r="C17" s="21" t="str">
        <x:v>Hospital modular</x:v>
      </x:c>
      <x:c r="D17" s="21" t="str">
        <x:v>Até 24 h</x:v>
      </x:c>
      <x:c r="E17" s="21" t="str">
        <x:v>Evento e diária</x:v>
      </x:c>
      <x:c r="F17" s="34"/>
      <x:c r="G17" s="34"/>
      <x:c r="H17" s="34"/>
    </x:row>
    <x:row r="18">
      <x:c r="A18" s="21" t="str">
        <x:v>N4</x:v>
      </x:c>
      <x:c r="B18" s="21" t="str">
        <x:v>40–100 leitos totais</x:v>
      </x:c>
      <x:c r="C18" s="21" t="str">
        <x:v>Expansão e especialidades</x:v>
      </x:c>
      <x:c r="D18" s="21" t="str">
        <x:v>36–48 h</x:v>
      </x:c>
      <x:c r="E18" s="21" t="str">
        <x:v>Módulo e diária</x:v>
      </x:c>
      <x:c r="F18" s="34"/>
      <x:c r="G18" s="34"/>
      <x:c r="H18" s="34"/>
    </x:row>
    <x:row r="19">
      <x:c r="A19" s="34"/>
      <x:c r="B19" s="34"/>
      <x:c r="C19" s="34"/>
      <x:c r="D19" s="34"/>
      <x:c r="E19" s="34"/>
      <x:c r="F19" s="34"/>
      <x:c r="G19" s="34"/>
      <x:c r="H19" s="34"/>
    </x:row>
    <x:row r="20">
      <x:c r="A20" s="9" t="str">
        <x:v>Uso do arquivo</x:v>
      </x:c>
      <x:c r="B20" s="10" t="str">
        <x:v>Uso do arquivo</x:v>
      </x:c>
      <x:c r="C20" s="10" t="str">
        <x:v>Uso do arquivo</x:v>
      </x:c>
      <x:c r="D20" s="10" t="str">
        <x:v>Uso do arquivo</x:v>
      </x:c>
      <x:c r="E20" s="10" t="str">
        <x:v>Uso do arquivo</x:v>
      </x:c>
      <x:c r="F20" s="10" t="str">
        <x:v>Uso do arquivo</x:v>
      </x:c>
      <x:c r="G20" s="10" t="str">
        <x:v>Uso do arquivo</x:v>
      </x:c>
      <x:c r="H20" s="11" t="str">
        <x:v>Uso do arquivo</x:v>
      </x:c>
    </x:row>
    <x:row r="21">
      <x:c r="A21" s="35" t="str">
        <x:v>1. Preencha custos e fontes.
2. Use Acionamento para a configuração efetiva, inclusive só medicamentos.
3. N0 remunera disponibilidade comprovada e manutenção pela empresa.
4. A OA depende do Secretário, com análise de risco e cenários.</x:v>
      </x:c>
      <x:c r="B21" s="35"/>
      <x:c r="C21" s="35"/>
      <x:c r="D21" s="35"/>
      <x:c r="E21" s="35"/>
      <x:c r="F21" s="35"/>
      <x:c r="G21" s="35"/>
      <x:c r="H21" s="35"/>
    </x:row>
    <x:row r="22">
      <x:c r="A22" s="35"/>
      <x:c r="B22" s="35"/>
      <x:c r="C22" s="35"/>
      <x:c r="D22" s="35"/>
      <x:c r="E22" s="35"/>
      <x:c r="F22" s="35"/>
      <x:c r="G22" s="35"/>
      <x:c r="H22" s="35"/>
    </x:row>
    <x:row r="23">
      <x:c r="A23" s="35"/>
      <x:c r="B23" s="35"/>
      <x:c r="C23" s="35"/>
      <x:c r="D23" s="35"/>
      <x:c r="E23" s="35"/>
      <x:c r="F23" s="35"/>
      <x:c r="G23" s="35"/>
      <x:c r="H23" s="35"/>
    </x:row>
    <x:row r="24">
      <x:c r="A24" s="35"/>
      <x:c r="B24" s="35"/>
      <x:c r="C24" s="35"/>
      <x:c r="D24" s="35"/>
      <x:c r="E24" s="35"/>
      <x:c r="F24" s="35"/>
      <x:c r="G24" s="35"/>
      <x:c r="H24" s="35"/>
    </x:row>
  </x:sheetData>
  <x:mergeCells>
    <x:mergeCell ref="A1:H1"/>
    <x:mergeCell ref="A3:H3"/>
    <x:mergeCell ref="A5:H5"/>
    <x:mergeCell ref="A12:H12"/>
    <x:mergeCell ref="A20:H20"/>
    <x:mergeCell ref="A21:H21"/>
    <x:mergeCell ref="A22:H22"/>
    <x:mergeCell ref="A23:H23"/>
    <x:mergeCell ref="A24:H24"/>
  </x:mergeCells>
  <x:dataValidations count="1">
    <x:dataValidation type="list" sqref="B7">
      <x:formula1>"Base,Moderado,Severo,Estresse"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18" hidden="0" customWidth="1"/>
    <x:col min="5" max="5" width="44" hidden="0" customWidth="1"/>
  </x:cols>
  <x:sheetData>
    <x:row r="1" ht="26" customHeight="1">
      <x:c r="A1" s="2" t="str">
        <x:v>Premissas da contratação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Preencher somente com decisão formal, pesquisa de mercado ou dado institucional.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ID</x:v>
      </x:c>
      <x:c r="B5" s="17" t="str">
        <x:v>Premissa</x:v>
      </x:c>
      <x:c r="C5" s="17" t="str">
        <x:v>Valor</x:v>
      </x:c>
      <x:c r="D5" s="17" t="str">
        <x:v>Unidade</x:v>
      </x:c>
      <x:c r="E5" s="17" t="str">
        <x:v>Fundamento ou fonte</x:v>
      </x:c>
      <x:c r="F5" s="34"/>
      <x:c r="G5" s="34"/>
      <x:c r="H5" s="34"/>
    </x:row>
    <x:row r="6">
      <x:c r="A6" s="21" t="str">
        <x:v>P01</x:v>
      </x:c>
      <x:c r="B6" s="21" t="str">
        <x:v>Prazo contratual</x:v>
      </x:c>
      <x:c r="C6" s="22"/>
      <x:c r="D6" s="21" t="str">
        <x:v>meses</x:v>
      </x:c>
      <x:c r="E6" s="21" t="str">
        <x:v>Decisão administrativa e jurídica</x:v>
      </x:c>
      <x:c r="F6" s="34"/>
      <x:c r="G6" s="34"/>
      <x:c r="H6" s="34"/>
    </x:row>
    <x:row r="7">
      <x:c r="A7" s="21" t="str">
        <x:v>P02</x:v>
      </x:c>
      <x:c r="B7" s="21" t="str">
        <x:v>Índice de disponibilidade N0</x:v>
      </x:c>
      <x:c r="C7" s="27" t="n">
        <x:v>0.99</x:v>
      </x:c>
      <x:c r="D7" s="21" t="str">
        <x:v>%</x:v>
      </x:c>
      <x:c r="E7" s="21" t="str">
        <x:v>Meta de referência do TR</x:v>
      </x:c>
      <x:c r="F7" s="34"/>
      <x:c r="G7" s="34"/>
      <x:c r="H7" s="34"/>
    </x:row>
    <x:row r="8">
      <x:c r="A8" s="21" t="str">
        <x:v>P03</x:v>
      </x:c>
      <x:c r="B8" s="21" t="str">
        <x:v>Autonomia inicial</x:v>
      </x:c>
      <x:c r="C8" s="22" t="n">
        <x:v>72</x:v>
      </x:c>
      <x:c r="D8" s="21" t="str">
        <x:v>horas</x:v>
      </x:c>
      <x:c r="E8" s="21" t="str">
        <x:v>ETP e TR</x:v>
      </x:c>
      <x:c r="F8" s="34"/>
      <x:c r="G8" s="34"/>
      <x:c r="H8" s="34"/>
    </x:row>
    <x:row r="9">
      <x:c r="A9" s="21" t="str">
        <x:v>P04</x:v>
      </x:c>
      <x:c r="B9" s="21" t="str">
        <x:v>Exercício completo</x:v>
      </x:c>
      <x:c r="C9" s="22" t="n">
        <x:v>1</x:v>
      </x:c>
      <x:c r="D9" s="21" t="str">
        <x:v>por ano</x:v>
      </x:c>
      <x:c r="E9" s="21" t="str">
        <x:v>ETP e TR</x:v>
      </x:c>
      <x:c r="F9" s="34"/>
      <x:c r="G9" s="34"/>
      <x:c r="H9" s="34"/>
    </x:row>
    <x:row r="10">
      <x:c r="A10" s="21" t="str">
        <x:v>P05</x:v>
      </x:c>
      <x:c r="B10" s="21" t="str">
        <x:v>Base logística exclusiva</x:v>
      </x:c>
      <x:c r="C10" s="22" t="str">
        <x:v>Pendente</x:v>
      </x:c>
      <x:c r="D10" s="21" t="str">
        <x:v>sim ou não</x:v>
      </x:c>
      <x:c r="E10" s="21" t="str">
        <x:v>Estudo de mercado</x:v>
      </x:c>
      <x:c r="F10" s="34"/>
      <x:c r="G10" s="34"/>
      <x:c r="H10" s="34"/>
    </x:row>
    <x:row r="11">
      <x:c r="A11" s="21" t="str">
        <x:v>P06</x:v>
      </x:c>
      <x:c r="B11" s="21" t="str">
        <x:v>Equipes assistenciais no objeto</x:v>
      </x:c>
      <x:c r="C11" s="22" t="str">
        <x:v>Pendente</x:v>
      </x:c>
      <x:c r="D11" s="21" t="str">
        <x:v>sim, não ou opcional</x:v>
      </x:c>
      <x:c r="E11" s="21" t="str">
        <x:v>Plano assistencial</x:v>
      </x:c>
      <x:c r="F11" s="34"/>
      <x:c r="G11" s="34"/>
      <x:c r="H11" s="34"/>
    </x:row>
    <x:row r="12">
      <x:c r="A12" s="21" t="str">
        <x:v>P07</x:v>
      </x:c>
      <x:c r="B12" s="21" t="str">
        <x:v>Modalidade</x:v>
      </x:c>
      <x:c r="C12" s="22" t="str">
        <x:v>Pendente</x:v>
      </x:c>
      <x:c r="D12" s="21" t="str">
        <x:v>texto</x:v>
      </x:c>
      <x:c r="E12" s="21" t="str">
        <x:v>Nota de classificação</x:v>
      </x:c>
      <x:c r="F12" s="34"/>
      <x:c r="G12" s="34"/>
      <x:c r="H12" s="34"/>
    </x:row>
    <x:row r="13">
      <x:c r="A13" s="21" t="str">
        <x:v>P08</x:v>
      </x:c>
      <x:c r="B13" s="21" t="str">
        <x:v>Critério de julgamento</x:v>
      </x:c>
      <x:c r="C13" s="22" t="str">
        <x:v>Pendente</x:v>
      </x:c>
      <x:c r="D13" s="21" t="str">
        <x:v>texto</x:v>
      </x:c>
      <x:c r="E13" s="21" t="str">
        <x:v>ETP e jurídico</x:v>
      </x:c>
      <x:c r="F13" s="34"/>
      <x:c r="G13" s="34"/>
      <x:c r="H13" s="34"/>
    </x:row>
    <x:row r="14">
      <x:c r="A14" s="21" t="str">
        <x:v>P09</x:v>
      </x:c>
      <x:c r="B14" s="21" t="str">
        <x:v>Parcelamento</x:v>
      </x:c>
      <x:c r="C14" s="22" t="str">
        <x:v>Pendente</x:v>
      </x:c>
      <x:c r="D14" s="21" t="str">
        <x:v>texto</x:v>
      </x:c>
      <x:c r="E14" s="21" t="str">
        <x:v>Análise de mercado</x:v>
      </x:c>
      <x:c r="F14" s="34"/>
      <x:c r="G14" s="34"/>
      <x:c r="H14" s="34"/>
    </x:row>
    <x:row r="15">
      <x:c r="A15" s="21" t="str">
        <x:v>P10</x:v>
      </x:c>
      <x:c r="B15" s="21" t="str">
        <x:v>Regime de execução</x:v>
      </x:c>
      <x:c r="C15" s="22" t="str">
        <x:v>Pendente</x:v>
      </x:c>
      <x:c r="D15" s="21" t="str">
        <x:v>texto</x:v>
      </x:c>
      <x:c r="E15" s="21" t="str">
        <x:v>Classificação do objeto</x:v>
      </x:c>
      <x:c r="F15" s="34"/>
      <x:c r="G15" s="34"/>
      <x:c r="H15" s="34"/>
    </x:row>
    <x:row r="16">
      <x:c r="A16" s="21" t="str">
        <x:v>P11</x:v>
      </x:c>
      <x:c r="B16" s="21" t="str">
        <x:v>Garantia contratual</x:v>
      </x:c>
      <x:c r="C16" s="27"/>
      <x:c r="D16" s="21" t="str">
        <x:v>%</x:v>
      </x:c>
      <x:c r="E16" s="21" t="str">
        <x:v>Justificativa de risco</x:v>
      </x:c>
      <x:c r="F16" s="34"/>
      <x:c r="G16" s="34"/>
      <x:c r="H16" s="34"/>
    </x:row>
    <x:row r="17">
      <x:c r="A17" s="21" t="str">
        <x:v>P12</x:v>
      </x:c>
      <x:c r="B17" s="21" t="str">
        <x:v>Garantia de proposta</x:v>
      </x:c>
      <x:c r="C17" s="27"/>
      <x:c r="D17" s="21" t="str">
        <x:v>%</x:v>
      </x:c>
      <x:c r="E17" s="21" t="str">
        <x:v>Justificativa de risco</x:v>
      </x:c>
      <x:c r="F17" s="34"/>
      <x:c r="G17" s="34"/>
      <x:c r="H17" s="34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55" hidden="0" customWidth="1"/>
    <x:col min="8" max="8" width="14" hidden="0" customWidth="1"/>
  </x:cols>
  <x:sheetData>
    <x:row r="1" ht="26" customHeight="1">
      <x:c r="A1" s="2" t="str">
        <x:v>Matriz de níveis N0 a N4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N0 remunerado sem uso. N1–N4 são referências independentes. Dimensione a missão na aba Acionamento.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Nível</x:v>
      </x:c>
      <x:c r="B5" s="17" t="str">
        <x:v>Denominação</x:v>
      </x:c>
      <x:c r="C5" s="17" t="str">
        <x:v>Leitos</x:v>
      </x:c>
      <x:c r="D5" s="17" t="str">
        <x:v>Críticos</x:v>
      </x:c>
      <x:c r="E5" s="17" t="str">
        <x:v>Cirurgia</x:v>
      </x:c>
      <x:c r="F5" s="17" t="str">
        <x:v>Prazo</x:v>
      </x:c>
      <x:c r="G5" s="17" t="str">
        <x:v>Componentes</x:v>
      </x:c>
      <x:c r="H5" s="17" t="str">
        <x:v>Status</x:v>
      </x:c>
    </x:row>
    <x:row r="6">
      <x:c r="A6" s="21" t="str">
        <x:v>N0</x:v>
      </x:c>
      <x:c r="B6" s="21" t="str">
        <x:v>Prontidão</x:v>
      </x:c>
      <x:c r="C6" s="21" t="n">
        <x:v>0</x:v>
      </x:c>
      <x:c r="D6" s="21" t="n">
        <x:v>0</x:v>
      </x:c>
      <x:c r="E6" s="21" t="n">
        <x:v>0</x:v>
      </x:c>
      <x:c r="F6" s="21" t="str">
        <x:v>Permanente</x:v>
      </x:c>
      <x:c r="G6" s="21" t="str">
        <x:v>Armazenagem, manutenção, testes e simulação</x:v>
      </x:c>
      <x:c r="H6" s="21" t="str">
        <x:v>Definido</x:v>
      </x:c>
    </x:row>
    <x:row r="7">
      <x:c r="A7" s="21" t="str">
        <x:v>N1</x:v>
      </x:c>
      <x:c r="B7" s="21" t="str">
        <x:v>Resposta rápida</x:v>
      </x:c>
      <x:c r="C7" s="21" t="str">
        <x:v>6–12 observação</x:v>
      </x:c>
      <x:c r="D7" s="21" t="str">
        <x:v>2–4</x:v>
      </x:c>
      <x:c r="E7" s="21" t="n">
        <x:v>0</x:v>
      </x:c>
      <x:c r="F7" s="21" t="str">
        <x:v>6–12 h</x:v>
      </x:c>
      <x:c r="G7" s="21" t="str">
        <x:v>Comando, triagem, estabilização, consulta e POC</x:v>
      </x:c>
      <x:c r="H7" s="21" t="str">
        <x:v>Referência</x:v>
      </x:c>
    </x:row>
    <x:row r="8">
      <x:c r="A8" s="21" t="str">
        <x:v>N2</x:v>
      </x:c>
      <x:c r="B8" s="21" t="str">
        <x:v>Assistência ampliada</x:v>
      </x:c>
      <x:c r="C8" s="21" t="str">
        <x:v>12–20</x:v>
      </x:c>
      <x:c r="D8" s="21" t="n">
        <x:v>4</x:v>
      </x:c>
      <x:c r="E8" s="21" t="n">
        <x:v>0</x:v>
      </x:c>
      <x:c r="F8" s="21" t="str">
        <x:v>Até 18 h</x:v>
      </x:c>
      <x:c r="G8" s="21" t="str">
        <x:v>Internação, imagem e isolamento selecionáveis</x:v>
      </x:c>
      <x:c r="H8" s="21" t="str">
        <x:v>Referência</x:v>
      </x:c>
    </x:row>
    <x:row r="9">
      <x:c r="A9" s="21" t="str">
        <x:v>N3</x:v>
      </x:c>
      <x:c r="B9" s="21" t="str">
        <x:v>Hospital modular</x:v>
      </x:c>
      <x:c r="C9" s="21" t="str">
        <x:v>18–30</x:v>
      </x:c>
      <x:c r="D9" s="21" t="n">
        <x:v>4</x:v>
      </x:c>
      <x:c r="E9" s="21" t="n">
        <x:v>1</x:v>
      </x:c>
      <x:c r="F9" s="21" t="str">
        <x:v>Até 24 h</x:v>
      </x:c>
      <x:c r="G9" s="21" t="str">
        <x:v>EMT Tipo 2 funcional, CME, RX, USG e WASH</x:v>
      </x:c>
      <x:c r="H9" s="21" t="str">
        <x:v>Referência</x:v>
      </x:c>
    </x:row>
    <x:row r="10">
      <x:c r="A10" s="21" t="str">
        <x:v>N4</x:v>
      </x:c>
      <x:c r="B10" s="21" t="str">
        <x:v>Expansão</x:v>
      </x:c>
      <x:c r="C10" s="21" t="str">
        <x:v>40–100 total</x:v>
      </x:c>
      <x:c r="D10" s="21" t="str">
        <x:v>A definir</x:v>
      </x:c>
      <x:c r="E10" s="21" t="str">
        <x:v>1–2</x:v>
      </x:c>
      <x:c r="F10" s="21" t="str">
        <x:v>36–48 h</x:v>
      </x:c>
      <x:c r="G10" s="21" t="str">
        <x:v>Expansão, UTI opcional e especialidades</x:v>
      </x:c>
      <x:c r="H10" s="21" t="str">
        <x:v>Parcial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</x:cols>
  <x:sheetData>
    <x:row r="1" ht="26" customHeight="1">
      <x:c r="A1" s="2" t="str">
        <x:v>Planilha de componentes de custo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N0 inclui manutenção ordinária pela empresa. Para composição por itens e medicamentos isolados, use Acionamento.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Código</x:v>
      </x:c>
      <x:c r="B5" s="17" t="str">
        <x:v>Componente</x:v>
      </x:c>
      <x:c r="C5" s="17" t="str">
        <x:v>Unidade</x:v>
      </x:c>
      <x:c r="D5" s="17" t="str">
        <x:v>Preço unitário</x:v>
      </x:c>
      <x:c r="E5" s="17" t="str">
        <x:v>Quantidade base</x:v>
      </x:c>
      <x:c r="F5" s="17" t="str">
        <x:v>Subtotal</x:v>
      </x:c>
      <x:c r="G5" s="17" t="str">
        <x:v>Fonte da cotação</x:v>
      </x:c>
      <x:c r="H5" s="34"/>
    </x:row>
    <x:row r="6">
      <x:c r="A6" s="21" t="str">
        <x:v>A</x:v>
      </x:c>
      <x:c r="B6" s="21" t="str">
        <x:v>Prontidão N0</x:v>
      </x:c>
      <x:c r="C6" s="21" t="str">
        <x:v>mês</x:v>
      </x:c>
      <x:c r="D6" s="28"/>
      <x:c r="E6" s="28"/>
      <x:c r="F6" s="23" t="str">
        <x:f>IF(OR(D6="",E6=""),"",D6*E6)</x:f>
      </x:c>
      <x:c r="G6" s="22" t="str"/>
      <x:c r="H6" s="34"/>
    </x:row>
    <x:row r="7">
      <x:c r="A7" s="21" t="str">
        <x:v>B</x:v>
      </x:c>
      <x:c r="B7" s="21" t="str">
        <x:v>Mobilização</x:v>
      </x:c>
      <x:c r="C7" s="21" t="str">
        <x:v>acionamento</x:v>
      </x:c>
      <x:c r="D7" s="28"/>
      <x:c r="E7" s="28"/>
      <x:c r="F7" s="23" t="str">
        <x:f>IF(OR(D7="",E7=""),"",D7*E7)</x:f>
      </x:c>
      <x:c r="G7" s="22" t="str"/>
      <x:c r="H7" s="34"/>
    </x:row>
    <x:row r="8">
      <x:c r="A8" s="21" t="str">
        <x:v>C</x:v>
      </x:c>
      <x:c r="B8" s="21" t="str">
        <x:v>Transporte</x:v>
      </x:c>
      <x:c r="C8" s="21" t="str">
        <x:v>faixa ou km</x:v>
      </x:c>
      <x:c r="D8" s="28"/>
      <x:c r="E8" s="28"/>
      <x:c r="F8" s="23" t="str">
        <x:f>IF(OR(D8="",E8=""),"",D8*E8)</x:f>
      </x:c>
      <x:c r="G8" s="22" t="str"/>
      <x:c r="H8" s="34"/>
    </x:row>
    <x:row r="9">
      <x:c r="A9" s="21" t="str">
        <x:v>D</x:v>
      </x:c>
      <x:c r="B9" s="21" t="str">
        <x:v>Instalação</x:v>
      </x:c>
      <x:c r="C9" s="21" t="str">
        <x:v>configuração</x:v>
      </x:c>
      <x:c r="D9" s="28"/>
      <x:c r="E9" s="28"/>
      <x:c r="F9" s="23" t="str">
        <x:f>IF(OR(D9="",E9=""),"",D9*E9)</x:f>
      </x:c>
      <x:c r="G9" s="22" t="str"/>
      <x:c r="H9" s="34"/>
    </x:row>
    <x:row r="10">
      <x:c r="A10" s="21" t="str">
        <x:v>E</x:v>
      </x:c>
      <x:c r="B10" s="21" t="str">
        <x:v>Operação técnica</x:v>
      </x:c>
      <x:c r="C10" s="21" t="str">
        <x:v>diária</x:v>
      </x:c>
      <x:c r="D10" s="28"/>
      <x:c r="E10" s="28"/>
      <x:c r="F10" s="23" t="str">
        <x:f>IF(OR(D10="",E10=""),"",D10*E10)</x:f>
      </x:c>
      <x:c r="G10" s="22" t="str"/>
      <x:c r="H10" s="34"/>
    </x:row>
    <x:row r="11">
      <x:c r="A11" s="21" t="str">
        <x:v>F</x:v>
      </x:c>
      <x:c r="B11" s="21" t="str">
        <x:v>Equipe assistencial</x:v>
      </x:c>
      <x:c r="C11" s="21" t="str">
        <x:v>pacote 24 h</x:v>
      </x:c>
      <x:c r="D11" s="28"/>
      <x:c r="E11" s="28"/>
      <x:c r="F11" s="23" t="str">
        <x:f>IF(OR(D11="",E11=""),"",D11*E11)</x:f>
      </x:c>
      <x:c r="G11" s="22" t="str"/>
      <x:c r="H11" s="34"/>
    </x:row>
    <x:row r="12">
      <x:c r="A12" s="21" t="str">
        <x:v>G</x:v>
      </x:c>
      <x:c r="B12" s="21" t="str">
        <x:v>Kits e consumo</x:v>
      </x:c>
      <x:c r="C12" s="21" t="str">
        <x:v>kit</x:v>
      </x:c>
      <x:c r="D12" s="28"/>
      <x:c r="E12" s="28"/>
      <x:c r="F12" s="23" t="str">
        <x:f>IF(OR(D12="",E12=""),"",D12*E12)</x:f>
      </x:c>
      <x:c r="G12" s="22" t="str"/>
      <x:c r="H12" s="34"/>
    </x:row>
    <x:row r="13">
      <x:c r="A13" s="21" t="str">
        <x:v>H</x:v>
      </x:c>
      <x:c r="B13" s="21" t="str">
        <x:v>Expansão</x:v>
      </x:c>
      <x:c r="C13" s="21" t="str">
        <x:v>módulo dia</x:v>
      </x:c>
      <x:c r="D13" s="28"/>
      <x:c r="E13" s="28"/>
      <x:c r="F13" s="23" t="str">
        <x:f>IF(OR(D13="",E13=""),"",D13*E13)</x:f>
      </x:c>
      <x:c r="G13" s="22" t="str"/>
      <x:c r="H13" s="34"/>
    </x:row>
    <x:row r="14">
      <x:c r="A14" s="21" t="str">
        <x:v>I</x:v>
      </x:c>
      <x:c r="B14" s="21" t="str">
        <x:v>Desmobilização</x:v>
      </x:c>
      <x:c r="C14" s="21" t="str">
        <x:v>evento</x:v>
      </x:c>
      <x:c r="D14" s="28"/>
      <x:c r="E14" s="28"/>
      <x:c r="F14" s="23" t="str">
        <x:f>IF(OR(D14="",E14=""),"",D14*E14)</x:f>
      </x:c>
      <x:c r="G14" s="22" t="str"/>
      <x:c r="H14" s="34"/>
    </x:row>
    <x:row r="15">
      <x:c r="A15" s="21" t="str">
        <x:v>J</x:v>
      </x:c>
      <x:c r="B15" s="21" t="str">
        <x:v>Treinamento e simulação</x:v>
      </x:c>
      <x:c r="C15" s="21" t="str">
        <x:v>evento</x:v>
      </x:c>
      <x:c r="D15" s="28"/>
      <x:c r="E15" s="28"/>
      <x:c r="F15" s="23" t="str">
        <x:f>IF(OR(D15="",E15=""),"",D15*E15)</x:f>
      </x:c>
      <x:c r="G15" s="22" t="str"/>
      <x:c r="H15" s="34"/>
    </x:row>
    <x:row r="16">
      <x:c r="A16" s="29" t="str">
        <x:v>TOTAL</x:v>
      </x:c>
      <x:c r="B16" s="29" t="str">
        <x:v>Total do cenário base</x:v>
      </x:c>
      <x:c r="C16" s="29" t="str"/>
      <x:c r="D16" s="30"/>
      <x:c r="E16" s="30"/>
      <x:c r="F16" s="30" t="str">
        <x:f>IF(COUNTBLANK(D6:D15)&gt;0,"PENDENTE",SUM(F6:F15))</x:f>
        <x:v>PENDENTE</x:v>
      </x:c>
      <x:c r="G16" s="29" t="str"/>
      <x:c r="H16" s="34"/>
    </x:row>
  </x:sheetData>
  <x:mergeCells>
    <x:mergeCell ref="A1:H1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2" hidden="0" customWidth="1"/>
  </x:cols>
  <x:sheetData>
    <x:row r="1" ht="26" customHeight="1">
      <x:c r="A1" s="2" t="str">
        <x:v>Cenários de demanda e custo anual</x:v>
      </x:c>
      <x:c r="B1" s="2"/>
      <x:c r="C1" s="2"/>
      <x:c r="D1" s="2"/>
      <x:c r="E1" s="2"/>
      <x:c r="F1" s="2"/>
      <x:c r="G1" s="2"/>
      <x:c r="H1" s="2"/>
      <x:c r="I1" s="34"/>
      <x:c r="J1" s="34"/>
    </x:row>
    <x:row r="2">
      <x:c r="A2" s="32"/>
      <x:c r="B2" s="32"/>
      <x:c r="C2" s="32"/>
      <x:c r="D2" s="32"/>
      <x:c r="E2" s="32"/>
      <x:c r="F2" s="32"/>
      <x:c r="G2" s="32"/>
      <x:c r="H2" s="32"/>
      <x:c r="I2" s="34"/>
      <x:c r="J2" s="34"/>
    </x:row>
    <x:row r="3">
      <x:c r="A3" s="33" t="str">
        <x:v>Cenários integrais de referência. Use Acionamento para módulos isolados. Preços não pesquisados permanecem pendentes.</x:v>
      </x:c>
      <x:c r="B3" s="33"/>
      <x:c r="C3" s="33"/>
      <x:c r="D3" s="33"/>
      <x:c r="E3" s="33"/>
      <x:c r="F3" s="33"/>
      <x:c r="G3" s="33"/>
      <x:c r="H3" s="33"/>
      <x:c r="I3" s="34"/>
      <x:c r="J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A5" s="17" t="str">
        <x:v>Cenário</x:v>
      </x:c>
      <x:c r="B5" s="17" t="str">
        <x:v>Meses N0</x:v>
      </x:c>
      <x:c r="C5" s="17" t="str">
        <x:v>Acionamentos</x:v>
      </x:c>
      <x:c r="D5" s="17" t="str">
        <x:v>Dias operação</x:v>
      </x:c>
      <x:c r="E5" s="17" t="str">
        <x:v>Km ou faixas</x:v>
      </x:c>
      <x:c r="F5" s="17" t="str">
        <x:v>Pacotes equipe</x:v>
      </x:c>
      <x:c r="G5" s="17" t="str">
        <x:v>Kits</x:v>
      </x:c>
      <x:c r="H5" s="17" t="str">
        <x:v>Módulo dia</x:v>
      </x:c>
      <x:c r="I5" s="17" t="str">
        <x:v>Treinamentos</x:v>
      </x:c>
      <x:c r="J5" s="17" t="str">
        <x:v>Custo anual</x:v>
      </x:c>
    </x:row>
    <x:row r="6">
      <x:c r="A6" s="21" t="str">
        <x:v>Base</x:v>
      </x:c>
      <x:c r="B6" s="22" t="n">
        <x:v>12</x:v>
      </x:c>
      <x:c r="C6" s="22"/>
      <x:c r="D6" s="22"/>
      <x:c r="E6" s="22"/>
      <x:c r="F6" s="22"/>
      <x:c r="G6" s="22"/>
      <x:c r="H6" s="22"/>
      <x:c r="I6" s="22"/>
      <x:c r="J6" s="23" t="str">
        <x:f>IF(COUNTBLANK(Custos!$D$6:$D$15)&gt;0,"",B6*Custos!$D$6+C6*(Custos!$D$7+Custos!$D$9+Custos!$D$14)+E6*Custos!$D$8+D6*Custos!$D$10+F6*Custos!$D$11+G6*Custos!$D$12+H6*Custos!$D$13+I6*Custos!$D$15)</x:f>
      </x:c>
    </x:row>
    <x:row r="7">
      <x:c r="A7" s="21" t="str">
        <x:v>Moderado</x:v>
      </x:c>
      <x:c r="B7" s="22" t="n">
        <x:v>12</x:v>
      </x:c>
      <x:c r="C7" s="22"/>
      <x:c r="D7" s="22"/>
      <x:c r="E7" s="22"/>
      <x:c r="F7" s="22"/>
      <x:c r="G7" s="22"/>
      <x:c r="H7" s="22"/>
      <x:c r="I7" s="22"/>
      <x:c r="J7" s="23" t="str">
        <x:f>IF(COUNTBLANK(Custos!$D$6:$D$15)&gt;0,"",B7*Custos!$D$6+C7*(Custos!$D$7+Custos!$D$9+Custos!$D$14)+E7*Custos!$D$8+D7*Custos!$D$10+F7*Custos!$D$11+G7*Custos!$D$12+H7*Custos!$D$13+I7*Custos!$D$15)</x:f>
      </x:c>
    </x:row>
    <x:row r="8">
      <x:c r="A8" s="21" t="str">
        <x:v>Severo</x:v>
      </x:c>
      <x:c r="B8" s="22" t="n">
        <x:v>12</x:v>
      </x:c>
      <x:c r="C8" s="22"/>
      <x:c r="D8" s="22"/>
      <x:c r="E8" s="22"/>
      <x:c r="F8" s="22"/>
      <x:c r="G8" s="22"/>
      <x:c r="H8" s="22"/>
      <x:c r="I8" s="22"/>
      <x:c r="J8" s="23" t="str">
        <x:f>IF(COUNTBLANK(Custos!$D$6:$D$15)&gt;0,"",B8*Custos!$D$6+C8*(Custos!$D$7+Custos!$D$9+Custos!$D$14)+E8*Custos!$D$8+D8*Custos!$D$10+F8*Custos!$D$11+G8*Custos!$D$12+H8*Custos!$D$13+I8*Custos!$D$15)</x:f>
      </x:c>
    </x:row>
    <x:row r="9">
      <x:c r="A9" s="21" t="str">
        <x:v>Estresse</x:v>
      </x:c>
      <x:c r="B9" s="22" t="n">
        <x:v>12</x:v>
      </x:c>
      <x:c r="C9" s="22"/>
      <x:c r="D9" s="22"/>
      <x:c r="E9" s="22"/>
      <x:c r="F9" s="22"/>
      <x:c r="G9" s="22"/>
      <x:c r="H9" s="22"/>
      <x:c r="I9" s="22"/>
      <x:c r="J9" s="23" t="str">
        <x:f>IF(COUNTBLANK(Custos!$D$6:$D$15)&gt;0,"",B9*Custos!$D$6+C9*(Custos!$D$7+Custos!$D$9+Custos!$D$14)+E9*Custos!$D$8+D9*Custos!$D$10+F9*Custos!$D$11+G9*Custos!$D$12+H9*Custos!$D$13+I9*Custos!$D$15)</x:f>
      </x:c>
    </x:row>
    <x:row r="10">
      <x:c r="A10" s="21" t="str">
        <x:v>Observação</x:v>
      </x:c>
      <x:c r="B10" s="21" t="str">
        <x:v>Preencher</x:v>
      </x:c>
      <x:c r="C10" s="21" t="str">
        <x:v>Preencher</x:v>
      </x:c>
      <x:c r="D10" s="21" t="str">
        <x:v>Preencher</x:v>
      </x:c>
      <x:c r="E10" s="21" t="str">
        <x:v>Preencher</x:v>
      </x:c>
      <x:c r="F10" s="21" t="str">
        <x:v>Preencher</x:v>
      </x:c>
      <x:c r="G10" s="21" t="str">
        <x:v>Preencher</x:v>
      </x:c>
      <x:c r="H10" s="21" t="str">
        <x:v>Preencher</x:v>
      </x:c>
      <x:c r="I10" s="21" t="str">
        <x:v>Preencher</x:v>
      </x:c>
      <x:c r="J10" s="21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0" hidden="0" customWidth="1"/>
  </x:cols>
  <x:sheetData>
    <x:row r="1" ht="26" customHeight="1">
      <x:c r="A1" s="2" t="str">
        <x:v>Dimensionamento de equipes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Preencher profissionais por turno, turnos por dia e dias de operação. O total é calculado por linha.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Nível</x:v>
      </x:c>
      <x:c r="B5" s="17" t="str">
        <x:v>Grupo</x:v>
      </x:c>
      <x:c r="C5" s="17" t="str">
        <x:v>Função</x:v>
      </x:c>
      <x:c r="D5" s="17" t="str">
        <x:v>Profissionais por turno</x:v>
      </x:c>
      <x:c r="E5" s="17" t="str">
        <x:v>Turnos por dia</x:v>
      </x:c>
      <x:c r="F5" s="17" t="str">
        <x:v>Dias</x:v>
      </x:c>
      <x:c r="G5" s="17" t="str">
        <x:v>Postos dia</x:v>
      </x:c>
      <x:c r="H5" s="17" t="str">
        <x:v>Observação</x:v>
      </x:c>
    </x:row>
    <x:row r="6">
      <x:c r="A6" s="21" t="str">
        <x:v>N0</x:v>
      </x:c>
      <x:c r="B6" s="21" t="str">
        <x:v>Técnica</x:v>
      </x:c>
      <x:c r="C6" s="21" t="str">
        <x:v>Coordenador de prontidão</x:v>
      </x:c>
      <x:c r="D6" s="22"/>
      <x:c r="E6" s="22"/>
      <x:c r="F6" s="22"/>
      <x:c r="G6" s="21" t="str">
        <x:f>IF(COUNTBLANK(D6:F6)&gt;0,"",D6*E6*F6)</x:f>
      </x:c>
      <x:c r="H6" s="22" t="str"/>
    </x:row>
    <x:row r="7">
      <x:c r="A7" s="21" t="str">
        <x:v>N0</x:v>
      </x:c>
      <x:c r="B7" s="21" t="str">
        <x:v>Técnica</x:v>
      </x:c>
      <x:c r="C7" s="21" t="str">
        <x:v>Engenharia clínica e manutenção</x:v>
      </x:c>
      <x:c r="D7" s="22"/>
      <x:c r="E7" s="22"/>
      <x:c r="F7" s="22"/>
      <x:c r="G7" s="21" t="str">
        <x:f>IF(COUNTBLANK(D7:F7)&gt;0,"",D7*E7*F7)</x:f>
      </x:c>
      <x:c r="H7" s="22" t="str"/>
    </x:row>
    <x:row r="8">
      <x:c r="A8" s="21" t="str">
        <x:v>N1</x:v>
      </x:c>
      <x:c r="B8" s="21" t="str">
        <x:v>Comando</x:v>
      </x:c>
      <x:c r="C8" s="21" t="str">
        <x:v>Coordenador de missão</x:v>
      </x:c>
      <x:c r="D8" s="22"/>
      <x:c r="E8" s="22"/>
      <x:c r="F8" s="22"/>
      <x:c r="G8" s="21" t="str">
        <x:f>IF(COUNTBLANK(D8:F8)&gt;0,"",D8*E8*F8)</x:f>
      </x:c>
      <x:c r="H8" s="22" t="str"/>
    </x:row>
    <x:row r="9">
      <x:c r="A9" s="21" t="str">
        <x:v>N1</x:v>
      </x:c>
      <x:c r="B9" s="21" t="str">
        <x:v>Assistência</x:v>
      </x:c>
      <x:c r="C9" s="21" t="str">
        <x:v>Médico</x:v>
      </x:c>
      <x:c r="D9" s="22"/>
      <x:c r="E9" s="22"/>
      <x:c r="F9" s="22"/>
      <x:c r="G9" s="21" t="str">
        <x:f>IF(COUNTBLANK(D9:F9)&gt;0,"",D9*E9*F9)</x:f>
      </x:c>
      <x:c r="H9" s="22" t="str"/>
    </x:row>
    <x:row r="10">
      <x:c r="A10" s="21" t="str">
        <x:v>N1</x:v>
      </x:c>
      <x:c r="B10" s="21" t="str">
        <x:v>Assistência</x:v>
      </x:c>
      <x:c r="C10" s="21" t="str">
        <x:v>Enfermeiro</x:v>
      </x:c>
      <x:c r="D10" s="22"/>
      <x:c r="E10" s="22"/>
      <x:c r="F10" s="22"/>
      <x:c r="G10" s="21" t="str">
        <x:f>IF(COUNTBLANK(D10:F10)&gt;0,"",D10*E10*F10)</x:f>
      </x:c>
      <x:c r="H10" s="22" t="str"/>
    </x:row>
    <x:row r="11">
      <x:c r="A11" s="21" t="str">
        <x:v>N1</x:v>
      </x:c>
      <x:c r="B11" s="21" t="str">
        <x:v>Assistência</x:v>
      </x:c>
      <x:c r="C11" s="21" t="str">
        <x:v>Técnico de enfermagem</x:v>
      </x:c>
      <x:c r="D11" s="22"/>
      <x:c r="E11" s="22"/>
      <x:c r="F11" s="22"/>
      <x:c r="G11" s="21" t="str">
        <x:f>IF(COUNTBLANK(D11:F11)&gt;0,"",D11*E11*F11)</x:f>
      </x:c>
      <x:c r="H11" s="22" t="str"/>
    </x:row>
    <x:row r="12">
      <x:c r="A12" s="21" t="str">
        <x:v>N2</x:v>
      </x:c>
      <x:c r="B12" s="21" t="str">
        <x:v>Assistência</x:v>
      </x:c>
      <x:c r="C12" s="21" t="str">
        <x:v>Fisioterapeuta</x:v>
      </x:c>
      <x:c r="D12" s="22"/>
      <x:c r="E12" s="22"/>
      <x:c r="F12" s="22"/>
      <x:c r="G12" s="21" t="str">
        <x:f>IF(COUNTBLANK(D12:F12)&gt;0,"",D12*E12*F12)</x:f>
      </x:c>
      <x:c r="H12" s="22" t="str"/>
    </x:row>
    <x:row r="13">
      <x:c r="A13" s="21" t="str">
        <x:v>N2</x:v>
      </x:c>
      <x:c r="B13" s="21" t="str">
        <x:v>Diagnóstico</x:v>
      </x:c>
      <x:c r="C13" s="21" t="str">
        <x:v>Laboratório e imagem</x:v>
      </x:c>
      <x:c r="D13" s="22"/>
      <x:c r="E13" s="22"/>
      <x:c r="F13" s="22"/>
      <x:c r="G13" s="21" t="str">
        <x:f>IF(COUNTBLANK(D13:F13)&gt;0,"",D13*E13*F13)</x:f>
      </x:c>
      <x:c r="H13" s="22" t="str"/>
    </x:row>
    <x:row r="14">
      <x:c r="A14" s="21" t="str">
        <x:v>N3</x:v>
      </x:c>
      <x:c r="B14" s="21" t="str">
        <x:v>Cirurgia</x:v>
      </x:c>
      <x:c r="C14" s="21" t="str">
        <x:v>Cirurgião</x:v>
      </x:c>
      <x:c r="D14" s="22"/>
      <x:c r="E14" s="22"/>
      <x:c r="F14" s="22"/>
      <x:c r="G14" s="21" t="str">
        <x:f>IF(COUNTBLANK(D14:F14)&gt;0,"",D14*E14*F14)</x:f>
      </x:c>
      <x:c r="H14" s="22" t="str"/>
    </x:row>
    <x:row r="15">
      <x:c r="A15" s="21" t="str">
        <x:v>N3</x:v>
      </x:c>
      <x:c r="B15" s="21" t="str">
        <x:v>Cirurgia</x:v>
      </x:c>
      <x:c r="C15" s="21" t="str">
        <x:v>Anestesiologista</x:v>
      </x:c>
      <x:c r="D15" s="22"/>
      <x:c r="E15" s="22"/>
      <x:c r="F15" s="22"/>
      <x:c r="G15" s="21" t="str">
        <x:f>IF(COUNTBLANK(D15:F15)&gt;0,"",D15*E15*F15)</x:f>
      </x:c>
      <x:c r="H15" s="22" t="str"/>
    </x:row>
    <x:row r="16">
      <x:c r="A16" s="21" t="str">
        <x:v>N3</x:v>
      </x:c>
      <x:c r="B16" s="21" t="str">
        <x:v>Apoio</x:v>
      </x:c>
      <x:c r="C16" s="21" t="str">
        <x:v>Farmácia e CME</x:v>
      </x:c>
      <x:c r="D16" s="22"/>
      <x:c r="E16" s="22"/>
      <x:c r="F16" s="22"/>
      <x:c r="G16" s="21" t="str">
        <x:f>IF(COUNTBLANK(D16:F16)&gt;0,"",D16*E16*F16)</x:f>
      </x:c>
      <x:c r="H16" s="22" t="str"/>
    </x:row>
    <x:row r="17">
      <x:c r="A17" s="21" t="str">
        <x:v>N4</x:v>
      </x:c>
      <x:c r="B17" s="21" t="str">
        <x:v>Críticos</x:v>
      </x:c>
      <x:c r="C17" s="21" t="str">
        <x:v>Intensivista e equipe UTI</x:v>
      </x:c>
      <x:c r="D17" s="22"/>
      <x:c r="E17" s="22"/>
      <x:c r="F17" s="22"/>
      <x:c r="G17" s="21" t="str">
        <x:f>IF(COUNTBLANK(D17:F17)&gt;0,"",D17*E17*F17)</x:f>
      </x:c>
      <x:c r="H17" s="22" t="str">
        <x:v>Decisão pendente</x:v>
      </x:c>
    </x:row>
    <x:row r="18">
      <x:c r="A18" s="21" t="str">
        <x:v>Todos</x:v>
      </x:c>
      <x:c r="B18" s="21" t="str">
        <x:v>Operação</x:v>
      </x:c>
      <x:c r="C18" s="21" t="str">
        <x:v>Logística, WASH, TI, energia e segurança</x:v>
      </x:c>
      <x:c r="D18" s="22"/>
      <x:c r="E18" s="22"/>
      <x:c r="F18" s="22"/>
      <x:c r="G18" s="21" t="str">
        <x:f>IF(COUNTBLANK(D18:F18)&gt;0,"",D18*E18*F18)</x:f>
      </x:c>
      <x:c r="H18" s="22" t="str"/>
    </x:row>
  </x:sheetData>
  <x:mergeCells>
    <x:mergeCell ref="A1:H1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60" hidden="0" customWidth="1"/>
    <x:col min="4" max="4" width="15" hidden="0" customWidth="1"/>
    <x:col min="5" max="5" width="16" hidden="0" customWidth="1"/>
    <x:col min="6" max="6" width="26" hidden="0" customWidth="1"/>
  </x:cols>
  <x:sheetData>
    <x:row r="1" ht="26" customHeight="1">
      <x:c r="A1" s="2" t="str">
        <x:v>Catálogo inicial de módulos e equipamentos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Lista funcional para dimensionamento. Marcas e modelos devem ser evitados salvo justificativa.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ID</x:v>
      </x:c>
      <x:c r="B5" s="17" t="str">
        <x:v>Módulo</x:v>
      </x:c>
      <x:c r="C5" s="17" t="str">
        <x:v>Conteúdo funcional</x:v>
      </x:c>
      <x:c r="D5" s="17" t="str">
        <x:v>Nível de referência</x:v>
      </x:c>
      <x:c r="E5" s="17" t="str">
        <x:v>Quantidade</x:v>
      </x:c>
      <x:c r="F5" s="17" t="str">
        <x:v>Observação</x:v>
      </x:c>
      <x:c r="G5" s="34"/>
      <x:c r="H5" s="34"/>
    </x:row>
    <x:row r="6">
      <x:c r="A6" s="21" t="str">
        <x:v>M01</x:v>
      </x:c>
      <x:c r="B6" s="21" t="str">
        <x:v>Comando</x:v>
      </x:c>
      <x:c r="C6" s="21" t="str">
        <x:v>Posto de comando, computadores, impressão e comunicação</x:v>
      </x:c>
      <x:c r="D6" s="21" t="str">
        <x:v>N1</x:v>
      </x:c>
      <x:c r="E6" s="22"/>
      <x:c r="F6" s="22" t="str"/>
      <x:c r="G6" s="34"/>
      <x:c r="H6" s="34"/>
    </x:row>
    <x:row r="7">
      <x:c r="A7" s="21" t="str">
        <x:v>M02</x:v>
      </x:c>
      <x:c r="B7" s="21" t="str">
        <x:v>Triagem</x:v>
      </x:c>
      <x:c r="C7" s="21" t="str">
        <x:v>Recepção, classificação, pulseiras e macas</x:v>
      </x:c>
      <x:c r="D7" s="21" t="str">
        <x:v>N1</x:v>
      </x:c>
      <x:c r="E7" s="22"/>
      <x:c r="F7" s="22" t="str"/>
      <x:c r="G7" s="34"/>
      <x:c r="H7" s="34"/>
    </x:row>
    <x:row r="8">
      <x:c r="A8" s="21" t="str">
        <x:v>M03</x:v>
      </x:c>
      <x:c r="B8" s="21" t="str">
        <x:v>Estabilização</x:v>
      </x:c>
      <x:c r="C8" s="21" t="str">
        <x:v>Monitores, ventiladores, desfibrilador, aspiradores e bombas</x:v>
      </x:c>
      <x:c r="D8" s="21" t="str">
        <x:v>N1</x:v>
      </x:c>
      <x:c r="E8" s="22"/>
      <x:c r="F8" s="22" t="str">
        <x:v>Reserva crítica</x:v>
      </x:c>
      <x:c r="G8" s="34"/>
      <x:c r="H8" s="34"/>
    </x:row>
    <x:row r="9">
      <x:c r="A9" s="21" t="str">
        <x:v>M04</x:v>
      </x:c>
      <x:c r="B9" s="21" t="str">
        <x:v>Observação</x:v>
      </x:c>
      <x:c r="C9" s="21" t="str">
        <x:v>Macas, oxigênio, pontos elétricos e posto de enfermagem</x:v>
      </x:c>
      <x:c r="D9" s="21" t="str">
        <x:v>N1</x:v>
      </x:c>
      <x:c r="E9" s="22"/>
      <x:c r="F9" s="22" t="str"/>
      <x:c r="G9" s="34"/>
      <x:c r="H9" s="34"/>
    </x:row>
    <x:row r="10">
      <x:c r="A10" s="21" t="str">
        <x:v>M05</x:v>
      </x:c>
      <x:c r="B10" s="21" t="str">
        <x:v>Internação</x:v>
      </x:c>
      <x:c r="C10" s="21" t="str">
        <x:v>Leitos, mobiliário e chamada</x:v>
      </x:c>
      <x:c r="D10" s="21" t="str">
        <x:v>N2</x:v>
      </x:c>
      <x:c r="E10" s="22"/>
      <x:c r="F10" s="22" t="str"/>
      <x:c r="G10" s="34"/>
      <x:c r="H10" s="34"/>
    </x:row>
    <x:row r="11">
      <x:c r="A11" s="21" t="str">
        <x:v>M06</x:v>
      </x:c>
      <x:c r="B11" s="21" t="str">
        <x:v>Isolamento</x:v>
      </x:c>
      <x:c r="C11" s="21" t="str">
        <x:v>Pressão negativa, monitoramento, alarmes e antecâmara</x:v>
      </x:c>
      <x:c r="D11" s="21" t="str">
        <x:v>N2</x:v>
      </x:c>
      <x:c r="E11" s="22"/>
      <x:c r="F11" s="22" t="str">
        <x:v>Acionável</x:v>
      </x:c>
      <x:c r="G11" s="34"/>
      <x:c r="H11" s="34"/>
    </x:row>
    <x:row r="12">
      <x:c r="A12" s="21" t="str">
        <x:v>M07</x:v>
      </x:c>
      <x:c r="B12" s="21" t="str">
        <x:v>Cirurgia</x:v>
      </x:c>
      <x:c r="C12" s="21" t="str">
        <x:v>Mesa, foco, anestesia, bisturi e recuperação</x:v>
      </x:c>
      <x:c r="D12" s="21" t="str">
        <x:v>N3</x:v>
      </x:c>
      <x:c r="E12" s="22"/>
      <x:c r="F12" s="22" t="str"/>
      <x:c r="G12" s="34"/>
      <x:c r="H12" s="34"/>
    </x:row>
    <x:row r="13">
      <x:c r="A13" s="21" t="str">
        <x:v>M08</x:v>
      </x:c>
      <x:c r="B13" s="21" t="str">
        <x:v>CME</x:v>
      </x:c>
      <x:c r="C13" s="21" t="str">
        <x:v>Expurgo, limpeza, preparo e esterilização</x:v>
      </x:c>
      <x:c r="D13" s="21" t="str">
        <x:v>N3</x:v>
      </x:c>
      <x:c r="E13" s="22"/>
      <x:c r="F13" s="22" t="str"/>
      <x:c r="G13" s="34"/>
      <x:c r="H13" s="34"/>
    </x:row>
    <x:row r="14">
      <x:c r="A14" s="21" t="str">
        <x:v>M09</x:v>
      </x:c>
      <x:c r="B14" s="21" t="str">
        <x:v>Imagem</x:v>
      </x:c>
      <x:c r="C14" s="21" t="str">
        <x:v>RX digital móvel e ultrassom</x:v>
      </x:c>
      <x:c r="D14" s="21" t="str">
        <x:v>N3</x:v>
      </x:c>
      <x:c r="E14" s="22"/>
      <x:c r="F14" s="22" t="str"/>
      <x:c r="G14" s="34"/>
      <x:c r="H14" s="34"/>
    </x:row>
    <x:row r="15">
      <x:c r="A15" s="21" t="str">
        <x:v>M10</x:v>
      </x:c>
      <x:c r="B15" s="21" t="str">
        <x:v>Laboratório</x:v>
      </x:c>
      <x:c r="C15" s="21" t="str">
        <x:v>POC, cadeia de frio e controle de qualidade</x:v>
      </x:c>
      <x:c r="D15" s="21" t="str">
        <x:v>N1</x:v>
      </x:c>
      <x:c r="E15" s="22"/>
      <x:c r="F15" s="22" t="str"/>
      <x:c r="G15" s="34"/>
      <x:c r="H15" s="34"/>
    </x:row>
    <x:row r="16">
      <x:c r="A16" s="21" t="str">
        <x:v>M11</x:v>
      </x:c>
      <x:c r="B16" s="21" t="str">
        <x:v>Energia</x:v>
      </x:c>
      <x:c r="C16" s="21" t="str">
        <x:v>Geradores N+1, quadros, UPS e aterramento</x:v>
      </x:c>
      <x:c r="D16" s="21" t="str">
        <x:v>N1</x:v>
      </x:c>
      <x:c r="E16" s="22"/>
      <x:c r="F16" s="22" t="str"/>
      <x:c r="G16" s="34"/>
      <x:c r="H16" s="34"/>
    </x:row>
    <x:row r="17">
      <x:c r="A17" s="21" t="str">
        <x:v>M12</x:v>
      </x:c>
      <x:c r="B17" s="21" t="str">
        <x:v>HVAC</x:v>
      </x:c>
      <x:c r="C17" s="21" t="str">
        <x:v>Climatização e renovação por ambiente</x:v>
      </x:c>
      <x:c r="D17" s="21" t="str">
        <x:v>N1</x:v>
      </x:c>
      <x:c r="E17" s="22"/>
      <x:c r="F17" s="22" t="str"/>
      <x:c r="G17" s="34"/>
      <x:c r="H17" s="34"/>
    </x:row>
    <x:row r="18">
      <x:c r="A18" s="21" t="str">
        <x:v>M13</x:v>
      </x:c>
      <x:c r="B18" s="21" t="str">
        <x:v>Gases</x:v>
      </x:c>
      <x:c r="C18" s="21" t="str">
        <x:v>Oxigênio, reserva, manifold, aspiração e alarmes</x:v>
      </x:c>
      <x:c r="D18" s="21" t="str">
        <x:v>N1</x:v>
      </x:c>
      <x:c r="E18" s="22"/>
      <x:c r="F18" s="22" t="str"/>
      <x:c r="G18" s="34"/>
      <x:c r="H18" s="34"/>
    </x:row>
    <x:row r="19">
      <x:c r="A19" s="21" t="str">
        <x:v>M14</x:v>
      </x:c>
      <x:c r="B19" s="21" t="str">
        <x:v>WASH</x:v>
      </x:c>
      <x:c r="C19" s="21" t="str">
        <x:v>Tratamento, reservação, sanitários, banho e efluentes</x:v>
      </x:c>
      <x:c r="D19" s="21" t="str">
        <x:v>N1</x:v>
      </x:c>
      <x:c r="E19" s="22"/>
      <x:c r="F19" s="22" t="str"/>
      <x:c r="G19" s="34"/>
      <x:c r="H19" s="34"/>
    </x:row>
    <x:row r="20">
      <x:c r="A20" s="21" t="str">
        <x:v>M15</x:v>
      </x:c>
      <x:c r="B20" s="21" t="str">
        <x:v>Comunicação</x:v>
      </x:c>
      <x:c r="C20" s="21" t="str">
        <x:v>Satélite, multi SIM, rádio, rede e segurança</x:v>
      </x:c>
      <x:c r="D20" s="21" t="str">
        <x:v>N1</x:v>
      </x:c>
      <x:c r="E20" s="22"/>
      <x:c r="F20" s="22" t="str"/>
      <x:c r="G20" s="34"/>
      <x:c r="H20" s="34"/>
    </x:row>
    <x:row r="21">
      <x:c r="A21" s="21" t="str">
        <x:v>M16</x:v>
      </x:c>
      <x:c r="B21" s="21" t="str">
        <x:v>UTI</x:v>
      </x:c>
      <x:c r="C21" s="21" t="str">
        <x:v>Leitos críticos completos e apoio</x:v>
      </x:c>
      <x:c r="D21" s="21" t="str">
        <x:v>N4</x:v>
      </x:c>
      <x:c r="E21" s="22"/>
      <x:c r="F21" s="22" t="str">
        <x:v>Decisão pendente</x:v>
      </x:c>
      <x:c r="G21" s="34"/>
      <x:c r="H21" s="34"/>
    </x:row>
  </x:sheetData>
  <x:mergeCells>
    <x:mergeCell ref="A1:H1"/>
    <x:mergeCell ref="A3:H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40" hidden="0" customWidth="1"/>
    <x:col min="3" max="3" width="13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" t="str">
        <x:v>Acordo de níveis de serviço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Metas de referência. Pesos e glosas devem ser simulados antes da publicação.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ID</x:v>
      </x:c>
      <x:c r="B5" s="17" t="str">
        <x:v>Indicador</x:v>
      </x:c>
      <x:c r="C5" s="17" t="str">
        <x:v>Meta</x:v>
      </x:c>
      <x:c r="D5" s="17" t="str">
        <x:v>Unidade</x:v>
      </x:c>
      <x:c r="E5" s="17" t="str">
        <x:v>Peso</x:v>
      </x:c>
      <x:c r="F5" s="17" t="str">
        <x:v>Resultado</x:v>
      </x:c>
      <x:c r="G5" s="17" t="str">
        <x:v>Atendimento</x:v>
      </x:c>
      <x:c r="H5" s="17" t="str">
        <x:v>Glosa proposta</x:v>
      </x:c>
    </x:row>
    <x:row r="6">
      <x:c r="A6" s="21" t="str">
        <x:v>S01</x:v>
      </x:c>
      <x:c r="B6" s="21" t="str">
        <x:v>Confirmação da OA</x:v>
      </x:c>
      <x:c r="C6" s="21" t="n">
        <x:v>15</x:v>
      </x:c>
      <x:c r="D6" s="21" t="str">
        <x:v>min</x:v>
      </x:c>
      <x:c r="E6" s="27"/>
      <x:c r="F6" s="22"/>
      <x:c r="G6" s="21" t="str">
        <x:f>IF(F6="","",IF(F6&lt;=C6,"Atendido","Não atendido"))</x:f>
      </x:c>
      <x:c r="H6" s="27"/>
    </x:row>
    <x:row r="7">
      <x:c r="A7" s="21" t="str">
        <x:v>S02</x:v>
      </x:c>
      <x:c r="B7" s="21" t="str">
        <x:v>Plano de mobilização</x:v>
      </x:c>
      <x:c r="C7" s="21" t="n">
        <x:v>2</x:v>
      </x:c>
      <x:c r="D7" s="21" t="str">
        <x:v>h</x:v>
      </x:c>
      <x:c r="E7" s="27"/>
      <x:c r="F7" s="22"/>
      <x:c r="G7" s="21" t="str">
        <x:f>IF(F7="","",IF(F7&lt;=C7,"Atendido","Não atendido"))</x:f>
      </x:c>
      <x:c r="H7" s="27"/>
    </x:row>
    <x:row r="8">
      <x:c r="A8" s="21" t="str">
        <x:v>S03</x:v>
      </x:c>
      <x:c r="B8" s="21" t="str">
        <x:v>Primeiros recursos em trânsito</x:v>
      </x:c>
      <x:c r="C8" s="21" t="n">
        <x:v>6</x:v>
      </x:c>
      <x:c r="D8" s="21" t="str">
        <x:v>h</x:v>
      </x:c>
      <x:c r="E8" s="27"/>
      <x:c r="F8" s="22"/>
      <x:c r="G8" s="21" t="str">
        <x:f>IF(F8="","",IF(F8&lt;=C8,"Atendido","Não atendido"))</x:f>
      </x:c>
      <x:c r="H8" s="27"/>
    </x:row>
    <x:row r="9">
      <x:c r="A9" s="21" t="str">
        <x:v>S04</x:v>
      </x:c>
      <x:c r="B9" s="21" t="str">
        <x:v>Implantação N1</x:v>
      </x:c>
      <x:c r="C9" s="21" t="n">
        <x:v>12</x:v>
      </x:c>
      <x:c r="D9" s="21" t="str">
        <x:v>h</x:v>
      </x:c>
      <x:c r="E9" s="27"/>
      <x:c r="F9" s="22"/>
      <x:c r="G9" s="21" t="str">
        <x:f>IF(F9="","",IF(F9&lt;=C9,"Atendido","Não atendido"))</x:f>
      </x:c>
      <x:c r="H9" s="27"/>
    </x:row>
    <x:row r="10">
      <x:c r="A10" s="21" t="str">
        <x:v>S05</x:v>
      </x:c>
      <x:c r="B10" s="21" t="str">
        <x:v>Implantação N2</x:v>
      </x:c>
      <x:c r="C10" s="21" t="n">
        <x:v>18</x:v>
      </x:c>
      <x:c r="D10" s="21" t="str">
        <x:v>h</x:v>
      </x:c>
      <x:c r="E10" s="27"/>
      <x:c r="F10" s="22"/>
      <x:c r="G10" s="21" t="str">
        <x:f>IF(F10="","",IF(F10&lt;=C10,"Atendido","Não atendido"))</x:f>
      </x:c>
      <x:c r="H10" s="27"/>
    </x:row>
    <x:row r="11">
      <x:c r="A11" s="21" t="str">
        <x:v>S06</x:v>
      </x:c>
      <x:c r="B11" s="21" t="str">
        <x:v>Implantação N3</x:v>
      </x:c>
      <x:c r="C11" s="21" t="n">
        <x:v>24</x:v>
      </x:c>
      <x:c r="D11" s="21" t="str">
        <x:v>h</x:v>
      </x:c>
      <x:c r="E11" s="27"/>
      <x:c r="F11" s="22"/>
      <x:c r="G11" s="21" t="str">
        <x:f>IF(F11="","",IF(F11&lt;=C11,"Atendido","Não atendido"))</x:f>
      </x:c>
      <x:c r="H11" s="27"/>
    </x:row>
    <x:row r="12">
      <x:c r="A12" s="21" t="str">
        <x:v>S07</x:v>
      </x:c>
      <x:c r="B12" s="21" t="str">
        <x:v>Disponibilidade N0</x:v>
      </x:c>
      <x:c r="C12" s="31" t="n">
        <x:v>0.99</x:v>
      </x:c>
      <x:c r="D12" s="21" t="str">
        <x:v>%</x:v>
      </x:c>
      <x:c r="E12" s="27"/>
      <x:c r="F12" s="27"/>
      <x:c r="G12" s="21" t="str">
        <x:f>IF(F12="","",IF(F12&gt;=C12,"Atendido","Não atendido"))</x:f>
      </x:c>
      <x:c r="H12" s="27"/>
    </x:row>
    <x:row r="13">
      <x:c r="A13" s="21" t="str">
        <x:v>S08</x:v>
      </x:c>
      <x:c r="B13" s="21" t="str">
        <x:v>Energia crítica</x:v>
      </x:c>
      <x:c r="C13" s="31" t="n">
        <x:v>0.999</x:v>
      </x:c>
      <x:c r="D13" s="21" t="str">
        <x:v>%</x:v>
      </x:c>
      <x:c r="E13" s="27"/>
      <x:c r="F13" s="27"/>
      <x:c r="G13" s="21" t="str">
        <x:f>IF(F13="","",IF(F13&gt;=C13,"Atendido","Não atendido"))</x:f>
      </x:c>
      <x:c r="H13" s="27"/>
    </x:row>
    <x:row r="14">
      <x:c r="A14" s="21" t="str">
        <x:v>S09</x:v>
      </x:c>
      <x:c r="B14" s="21" t="str">
        <x:v>Comunicação principal ou redundante</x:v>
      </x:c>
      <x:c r="C14" s="31" t="n">
        <x:v>0.99</x:v>
      </x:c>
      <x:c r="D14" s="21" t="str">
        <x:v>%</x:v>
      </x:c>
      <x:c r="E14" s="27"/>
      <x:c r="F14" s="27"/>
      <x:c r="G14" s="21" t="str">
        <x:f>IF(F14="","",IF(F14&gt;=C14,"Atendido","Não atendido"))</x:f>
      </x:c>
      <x:c r="H14" s="27"/>
    </x:row>
    <x:row r="15">
      <x:c r="A15" s="21" t="str">
        <x:v>S10</x:v>
      </x:c>
      <x:c r="B15" s="21" t="str">
        <x:v>Equipamentos críticos funcionais</x:v>
      </x:c>
      <x:c r="C15" s="31" t="n">
        <x:v>1</x:v>
      </x:c>
      <x:c r="D15" s="21" t="str">
        <x:v>%</x:v>
      </x:c>
      <x:c r="E15" s="27"/>
      <x:c r="F15" s="27"/>
      <x:c r="G15" s="21" t="str">
        <x:f>IF(F15="","",IF(F15&gt;=C15,"Atendido","Não atendido"))</x:f>
      </x:c>
      <x:c r="H15" s="27"/>
    </x:row>
    <x:row r="16">
      <x:c r="A16" s="21" t="str">
        <x:v>S11</x:v>
      </x:c>
      <x:c r="B16" s="21" t="str">
        <x:v>Rastreabilidade patrimonial</x:v>
      </x:c>
      <x:c r="C16" s="31" t="n">
        <x:v>1</x:v>
      </x:c>
      <x:c r="D16" s="21" t="str">
        <x:v>%</x:v>
      </x:c>
      <x:c r="E16" s="27"/>
      <x:c r="F16" s="27"/>
      <x:c r="G16" s="21" t="str">
        <x:f>IF(F16="","",IF(F16&gt;=C16,"Atendido","Não atendido"))</x:f>
      </x:c>
      <x:c r="H16" s="27"/>
    </x:row>
  </x:sheetData>
  <x:mergeCells>
    <x:mergeCell ref="A1:H1"/>
    <x:mergeCell ref="A3:H3"/>
  </x:mergeCells>
  <x:conditionalFormatting sqref="G6:G16">
    <x:cfRule type="containsText" dxfId="0" priority="1" operator="containsText" text="Não atendido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26" hidden="0" customWidth="1"/>
    <x:col min="3" max="3" width="16" hidden="0" customWidth="1"/>
    <x:col min="4" max="4" width="30" hidden="0" customWidth="1"/>
    <x:col min="5" max="5" width="30" hidden="0" customWidth="1"/>
    <x:col min="6" max="6" width="14" hidden="0" customWidth="1"/>
    <x:col min="7" max="7" width="14" hidden="0" customWidth="1"/>
    <x:col min="8" max="8" width="18" hidden="0" customWidth="1"/>
    <x:col min="9" max="9" width="34" hidden="0" customWidth="1"/>
    <x:col min="10" max="10" width="22" hidden="0" customWidth="1"/>
  </x:cols>
  <x:sheetData>
    <x:row r="1" ht="26" customHeight="1">
      <x:c r="A1" s="2" t="str">
        <x:v>Matriz de riscos</x:v>
      </x:c>
      <x:c r="B1" s="2"/>
      <x:c r="C1" s="2"/>
      <x:c r="D1" s="2"/>
      <x:c r="E1" s="2"/>
      <x:c r="F1" s="2"/>
      <x:c r="G1" s="2"/>
      <x:c r="H1" s="2"/>
      <x:c r="I1" s="34"/>
      <x:c r="J1" s="34"/>
    </x:row>
    <x:row r="2">
      <x:c r="A2" s="32"/>
      <x:c r="B2" s="32"/>
      <x:c r="C2" s="32"/>
      <x:c r="D2" s="32"/>
      <x:c r="E2" s="32"/>
      <x:c r="F2" s="32"/>
      <x:c r="G2" s="32"/>
      <x:c r="H2" s="32"/>
      <x:c r="I2" s="34"/>
      <x:c r="J2" s="34"/>
    </x:row>
    <x:row r="3">
      <x:c r="A3" s="33" t="str">
        <x:v>Probabilidade e impacto serão avaliados na escala definida pela SES MT.</x:v>
      </x:c>
      <x:c r="B3" s="33"/>
      <x:c r="C3" s="33"/>
      <x:c r="D3" s="33"/>
      <x:c r="E3" s="33"/>
      <x:c r="F3" s="33"/>
      <x:c r="G3" s="33"/>
      <x:c r="H3" s="33"/>
      <x:c r="I3" s="34"/>
      <x:c r="J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  <x:c r="J4" s="34"/>
    </x:row>
    <x:row r="5">
      <x:c r="A5" s="17" t="str">
        <x:v>ID</x:v>
      </x:c>
      <x:c r="B5" s="17" t="str">
        <x:v>Risco</x:v>
      </x:c>
      <x:c r="C5" s="17" t="str">
        <x:v>Fase</x:v>
      </x:c>
      <x:c r="D5" s="17" t="str">
        <x:v>Causa</x:v>
      </x:c>
      <x:c r="E5" s="17" t="str">
        <x:v>Consequência</x:v>
      </x:c>
      <x:c r="F5" s="17" t="str">
        <x:v>Probabilidade</x:v>
      </x:c>
      <x:c r="G5" s="17" t="str">
        <x:v>Impacto</x:v>
      </x:c>
      <x:c r="H5" s="17" t="str">
        <x:v>Responsável</x:v>
      </x:c>
      <x:c r="I5" s="17" t="str">
        <x:v>Tratamento</x:v>
      </x:c>
      <x:c r="J5" s="17" t="str">
        <x:v>Gatilho</x:v>
      </x:c>
    </x:row>
    <x:row r="6">
      <x:c r="A6" s="21" t="str">
        <x:v>R01</x:v>
      </x:c>
      <x:c r="B6" s="21" t="str">
        <x:v>Falha de equipamento</x:v>
      </x:c>
      <x:c r="C6" s="21" t="str">
        <x:v>N0 missão</x:v>
      </x:c>
      <x:c r="D6" s="21" t="str">
        <x:v>Manutenção ou desgaste</x:v>
      </x:c>
      <x:c r="E6" s="21" t="str">
        <x:v>Interrupção assistencial</x:v>
      </x:c>
      <x:c r="F6" s="22"/>
      <x:c r="G6" s="22"/>
      <x:c r="H6" s="21" t="str">
        <x:v>Contratada</x:v>
      </x:c>
      <x:c r="I6" s="21" t="str">
        <x:v>Reserva e manutenção</x:v>
      </x:c>
      <x:c r="J6" s="21" t="str">
        <x:v>Indisponibilidade</x:v>
      </x:c>
    </x:row>
    <x:row r="7">
      <x:c r="A7" s="21" t="str">
        <x:v>R02</x:v>
      </x:c>
      <x:c r="B7" s="21" t="str">
        <x:v>Atraso de montagem</x:v>
      </x:c>
      <x:c r="C7" s="21" t="str">
        <x:v>Mobilização</x:v>
      </x:c>
      <x:c r="D7" s="21" t="str">
        <x:v>Equipe ou logística</x:v>
      </x:c>
      <x:c r="E7" s="21" t="str">
        <x:v>Atraso no atendimento</x:v>
      </x:c>
      <x:c r="F7" s="22"/>
      <x:c r="G7" s="22"/>
      <x:c r="H7" s="21" t="str">
        <x:v>Contratada</x:v>
      </x:c>
      <x:c r="I7" s="21" t="str">
        <x:v>Recuperação e contingência</x:v>
      </x:c>
      <x:c r="J7" s="21" t="str">
        <x:v>Marco vencido</x:v>
      </x:c>
    </x:row>
    <x:row r="8">
      <x:c r="A8" s="21" t="str">
        <x:v>R03</x:v>
      </x:c>
      <x:c r="B8" s="21" t="str">
        <x:v>Ruptura de estoque</x:v>
      </x:c>
      <x:c r="C8" s="21" t="str">
        <x:v>Missão</x:v>
      </x:c>
      <x:c r="D8" s="21" t="str">
        <x:v>Consumo ou abastecimento</x:v>
      </x:c>
      <x:c r="E8" s="21" t="str">
        <x:v>Restrição assistencial</x:v>
      </x:c>
      <x:c r="F8" s="22"/>
      <x:c r="G8" s="22"/>
      <x:c r="H8" s="21" t="str">
        <x:v>Contratada</x:v>
      </x:c>
      <x:c r="I8" s="21" t="str">
        <x:v>Estoque mínimo e fornecedor alternativo</x:v>
      </x:c>
      <x:c r="J8" s="21" t="str">
        <x:v>Ponto de reposição</x:v>
      </x:c>
    </x:row>
    <x:row r="9">
      <x:c r="A9" s="21" t="str">
        <x:v>R04</x:v>
      </x:c>
      <x:c r="B9" s="21" t="str">
        <x:v>Sítio inadequado</x:v>
      </x:c>
      <x:c r="C9" s="21" t="str">
        <x:v>Preparação</x:v>
      </x:c>
      <x:c r="D9" s="21" t="str">
        <x:v>Área, drenagem ou acesso</x:v>
      </x:c>
      <x:c r="E9" s="21" t="str">
        <x:v>Relocação e atraso</x:v>
      </x:c>
      <x:c r="F9" s="22"/>
      <x:c r="G9" s="22"/>
      <x:c r="H9" s="21" t="str">
        <x:v>SES MT</x:v>
      </x:c>
      <x:c r="I9" s="21" t="str">
        <x:v>Site Assessment</x:v>
      </x:c>
      <x:c r="J9" s="21" t="str">
        <x:v>Não conformidade</x:v>
      </x:c>
    </x:row>
    <x:row r="10">
      <x:c r="A10" s="21" t="str">
        <x:v>R05</x:v>
      </x:c>
      <x:c r="B10" s="21" t="str">
        <x:v>Bloqueio de rota</x:v>
      </x:c>
      <x:c r="C10" s="21" t="str">
        <x:v>Transporte</x:v>
      </x:c>
      <x:c r="D10" s="21" t="str">
        <x:v>Clima ou infraestrutura</x:v>
      </x:c>
      <x:c r="E10" s="21" t="str">
        <x:v>Atraso</x:v>
      </x:c>
      <x:c r="F10" s="22"/>
      <x:c r="G10" s="22"/>
      <x:c r="H10" s="21" t="str">
        <x:v>Conforme causa</x:v>
      </x:c>
      <x:c r="I10" s="21" t="str">
        <x:v>Rotas alternativas</x:v>
      </x:c>
      <x:c r="J10" s="21" t="str">
        <x:v>Interdição</x:v>
      </x:c>
    </x:row>
    <x:row r="11">
      <x:c r="A11" s="21" t="str">
        <x:v>R06</x:v>
      </x:c>
      <x:c r="B11" s="21" t="str">
        <x:v>Clima acima do projeto</x:v>
      </x:c>
      <x:c r="C11" s="21" t="str">
        <x:v>Missão</x:v>
      </x:c>
      <x:c r="D11" s="21" t="str">
        <x:v>Evento extremo</x:v>
      </x:c>
      <x:c r="E11" s="21" t="str">
        <x:v>Dano ou suspensão</x:v>
      </x:c>
      <x:c r="F11" s="22"/>
      <x:c r="G11" s="22"/>
      <x:c r="H11" s="21" t="str">
        <x:v>Matriz final</x:v>
      </x:c>
      <x:c r="I11" s="21" t="str">
        <x:v>Monitorar e relocar</x:v>
      </x:c>
      <x:c r="J11" s="21" t="str">
        <x:v>Limite excedido</x:v>
      </x:c>
    </x:row>
    <x:row r="12">
      <x:c r="A12" s="21" t="str">
        <x:v>R07</x:v>
      </x:c>
      <x:c r="B12" s="21" t="str">
        <x:v>Falha de energia</x:v>
      </x:c>
      <x:c r="C12" s="21" t="str">
        <x:v>Missão</x:v>
      </x:c>
      <x:c r="D12" s="21" t="str">
        <x:v>Gerador, combustível ou quadro</x:v>
      </x:c>
      <x:c r="E12" s="21" t="str">
        <x:v>Risco vital</x:v>
      </x:c>
      <x:c r="F12" s="22"/>
      <x:c r="G12" s="22"/>
      <x:c r="H12" s="21" t="str">
        <x:v>Contratada</x:v>
      </x:c>
      <x:c r="I12" s="21" t="str">
        <x:v>N+1, UPS e combustível</x:v>
      </x:c>
      <x:c r="J12" s="21" t="str">
        <x:v>Alarme</x:v>
      </x:c>
    </x:row>
    <x:row r="13">
      <x:c r="A13" s="21" t="str">
        <x:v>R08</x:v>
      </x:c>
      <x:c r="B13" s="21" t="str">
        <x:v>Falha de comunicação</x:v>
      </x:c>
      <x:c r="C13" s="21" t="str">
        <x:v>Missão</x:v>
      </x:c>
      <x:c r="D13" s="21" t="str">
        <x:v>Cobertura ou equipamento</x:v>
      </x:c>
      <x:c r="E13" s="21" t="str">
        <x:v>Perda de coordenação</x:v>
      </x:c>
      <x:c r="F13" s="22"/>
      <x:c r="G13" s="22"/>
      <x:c r="H13" s="21" t="str">
        <x:v>Contratada</x:v>
      </x:c>
      <x:c r="I13" s="21" t="str">
        <x:v>Satélite, móvel e rádio</x:v>
      </x:c>
      <x:c r="J13" s="21" t="str">
        <x:v>Indisponibilidade</x:v>
      </x:c>
    </x:row>
    <x:row r="14">
      <x:c r="A14" s="21" t="str">
        <x:v>R09</x:v>
      </x:c>
      <x:c r="B14" s="21" t="str">
        <x:v>Incidente de dados</x:v>
      </x:c>
      <x:c r="C14" s="21" t="str">
        <x:v>Missão</x:v>
      </x:c>
      <x:c r="D14" s="21" t="str">
        <x:v>Acesso ou sistema</x:v>
      </x:c>
      <x:c r="E14" s="21" t="str">
        <x:v>Exposição e interrupção</x:v>
      </x:c>
      <x:c r="F14" s="22"/>
      <x:c r="G14" s="22"/>
      <x:c r="H14" s="21" t="str">
        <x:v>Conforme causa</x:v>
      </x:c>
      <x:c r="I14" s="21" t="str">
        <x:v>Segurança e resposta</x:v>
      </x:c>
      <x:c r="J14" s="21" t="str">
        <x:v>Alerta</x:v>
      </x:c>
    </x:row>
    <x:row r="15">
      <x:c r="A15" s="21" t="str">
        <x:v>R10</x:v>
      </x:c>
      <x:c r="B15" s="21" t="str">
        <x:v>Demanda acima da capacidade</x:v>
      </x:c>
      <x:c r="C15" s="21" t="str">
        <x:v>Missão</x:v>
      </x:c>
      <x:c r="D15" s="21" t="str">
        <x:v>Escalada do evento</x:v>
      </x:c>
      <x:c r="E15" s="21" t="str">
        <x:v>Saturação</x:v>
      </x:c>
      <x:c r="F15" s="22"/>
      <x:c r="G15" s="22"/>
      <x:c r="H15" s="21" t="str">
        <x:v>Compartilhado</x:v>
      </x:c>
      <x:c r="I15" s="21" t="str">
        <x:v>Expansão e regulação</x:v>
      </x:c>
      <x:c r="J15" s="21" t="str">
        <x:v>Ocupação limite</x:v>
      </x:c>
    </x:row>
    <x:row r="16">
      <x:c r="A16" s="21" t="str">
        <x:v>R11</x:v>
      </x:c>
      <x:c r="B16" s="21" t="str">
        <x:v>Segurança do perímetro</x:v>
      </x:c>
      <x:c r="C16" s="21" t="str">
        <x:v>Missão</x:v>
      </x:c>
      <x:c r="D16" s="21" t="str">
        <x:v>Ameaça externa</x:v>
      </x:c>
      <x:c r="E16" s="21" t="str">
        <x:v>Risco a pessoas e ativos</x:v>
      </x:c>
      <x:c r="F16" s="22"/>
      <x:c r="G16" s="22"/>
      <x:c r="H16" s="21" t="str">
        <x:v>SES MT em regra</x:v>
      </x:c>
      <x:c r="I16" s="21" t="str">
        <x:v>Forças de segurança</x:v>
      </x:c>
      <x:c r="J16" s="21" t="str">
        <x:v>Incidente</x:v>
      </x:c>
    </x:row>
  </x:sheetData>
  <x:mergeCells>
    <x:mergeCell ref="A1:H1"/>
    <x:mergeCell ref="A3:H3"/>
  </x:mergeCells>
  <x:dataValidations count="1">
    <x:dataValidation type="whole" operator="between" sqref="F6:G16">
      <x:formula1>1</x:formula1>
      <x:formula2>5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7" hidden="0" customWidth="1"/>
    <x:col min="3" max="3" width="38" hidden="0" customWidth="1"/>
    <x:col min="4" max="4" width="16" hidden="0" customWidth="1"/>
    <x:col min="5" max="5" width="16" hidden="0" customWidth="1"/>
    <x:col min="6" max="6" width="30" hidden="0" customWidth="1"/>
    <x:col min="7" max="7" width="22" hidden="0" customWidth="1"/>
    <x:col min="8" max="8" width="16" hidden="0" customWidth="1"/>
    <x:col min="9" max="9" width="26" hidden="0" customWidth="1"/>
  </x:cols>
  <x:sheetData>
    <x:row r="1" ht="26" customHeight="1">
      <x:c r="A1" s="2" t="str">
        <x:v>Matriz de dados estaduais</x:v>
      </x:c>
      <x:c r="B1" s="2"/>
      <x:c r="C1" s="2"/>
      <x:c r="D1" s="2"/>
      <x:c r="E1" s="2"/>
      <x:c r="F1" s="2"/>
      <x:c r="G1" s="2"/>
      <x:c r="H1" s="2"/>
      <x:c r="I1" s="34"/>
    </x:row>
    <x:row r="2">
      <x:c r="A2" s="32"/>
      <x:c r="B2" s="32"/>
      <x:c r="C2" s="32"/>
      <x:c r="D2" s="32"/>
      <x:c r="E2" s="32"/>
      <x:c r="F2" s="32"/>
      <x:c r="G2" s="32"/>
      <x:c r="H2" s="32"/>
      <x:c r="I2" s="34"/>
    </x:row>
    <x:row r="3">
      <x:c r="A3" s="33" t="str">
        <x:v>Inventário das evidências necessárias para consolidar dimensionamento, frequência de acionamento e logística.</x:v>
      </x:c>
      <x:c r="B3" s="33"/>
      <x:c r="C3" s="33"/>
      <x:c r="D3" s="33"/>
      <x:c r="E3" s="33"/>
      <x:c r="F3" s="33"/>
      <x:c r="G3" s="33"/>
      <x:c r="H3" s="33"/>
      <x:c r="I3" s="34"/>
    </x:row>
    <x:row r="4">
      <x:c r="A4" s="34"/>
      <x:c r="B4" s="34"/>
      <x:c r="C4" s="34"/>
      <x:c r="D4" s="34"/>
      <x:c r="E4" s="34"/>
      <x:c r="F4" s="34"/>
      <x:c r="G4" s="34"/>
      <x:c r="H4" s="34"/>
      <x:c r="I4" s="34"/>
    </x:row>
    <x:row r="5">
      <x:c r="A5" s="17" t="str">
        <x:v>ID</x:v>
      </x:c>
      <x:c r="B5" s="17" t="str">
        <x:v>Bloco</x:v>
      </x:c>
      <x:c r="C5" s="17" t="str">
        <x:v>Variável</x:v>
      </x:c>
      <x:c r="D5" s="17" t="str">
        <x:v>Unidade</x:v>
      </x:c>
      <x:c r="E5" s="17" t="str">
        <x:v>Período</x:v>
      </x:c>
      <x:c r="F5" s="17" t="str">
        <x:v>Fonte</x:v>
      </x:c>
      <x:c r="G5" s="17" t="str">
        <x:v>Responsável</x:v>
      </x:c>
      <x:c r="H5" s="17" t="str">
        <x:v>Status</x:v>
      </x:c>
      <x:c r="I5" s="17" t="str">
        <x:v>Uso no projeto</x:v>
      </x:c>
    </x:row>
    <x:row r="6">
      <x:c r="A6" s="21" t="str">
        <x:v>D01</x:v>
      </x:c>
      <x:c r="B6" s="21" t="str">
        <x:v>Emergências</x:v>
      </x:c>
      <x:c r="C6" s="21" t="str">
        <x:v>Eventos por tipo, município e duração</x:v>
      </x:c>
      <x:c r="D6" s="21" t="str">
        <x:v>evento</x:v>
      </x:c>
      <x:c r="E6" s="21" t="str">
        <x:v>5–10 anos</x:v>
      </x:c>
      <x:c r="F6" s="21" t="str">
        <x:v>CIEVS COES Defesa Civil</x:v>
      </x:c>
      <x:c r="G6" s="22" t="str"/>
      <x:c r="H6" s="22" t="str">
        <x:v>Não iniciado</x:v>
      </x:c>
      <x:c r="I6" s="21" t="str">
        <x:v>Frequência e cenários</x:v>
      </x:c>
    </x:row>
    <x:row r="7">
      <x:c r="A7" s="21" t="str">
        <x:v>D02</x:v>
      </x:c>
      <x:c r="B7" s="21" t="str">
        <x:v>Emergências</x:v>
      </x:c>
      <x:c r="C7" s="21" t="str">
        <x:v>Pessoas e unidades afetadas</x:v>
      </x:c>
      <x:c r="D7" s="21" t="str">
        <x:v>pessoa unidade</x:v>
      </x:c>
      <x:c r="E7" s="21" t="str">
        <x:v>5–10 anos</x:v>
      </x:c>
      <x:c r="F7" s="21" t="str">
        <x:v>CIEVS Defesa Civil</x:v>
      </x:c>
      <x:c r="G7" s="22" t="str"/>
      <x:c r="H7" s="22" t="str">
        <x:v>Não iniciado</x:v>
      </x:c>
      <x:c r="I7" s="21" t="str">
        <x:v>Capacidade</x:v>
      </x:c>
    </x:row>
    <x:row r="8">
      <x:c r="A8" s="21" t="str">
        <x:v>D03</x:v>
      </x:c>
      <x:c r="B8" s="21" t="str">
        <x:v>Rede</x:v>
      </x:c>
      <x:c r="C8" s="21" t="str">
        <x:v>Leitos totais e críticos</x:v>
      </x:c>
      <x:c r="D8" s="21" t="str">
        <x:v>leito</x:v>
      </x:c>
      <x:c r="E8" s="21" t="str">
        <x:v>Atual</x:v>
      </x:c>
      <x:c r="F8" s="21" t="str">
        <x:v>CNES Monitora</x:v>
      </x:c>
      <x:c r="G8" s="22" t="str"/>
      <x:c r="H8" s="22" t="str">
        <x:v>Não iniciado</x:v>
      </x:c>
      <x:c r="I8" s="21" t="str">
        <x:v>Capacidade residual</x:v>
      </x:c>
    </x:row>
    <x:row r="9">
      <x:c r="A9" s="21" t="str">
        <x:v>D04</x:v>
      </x:c>
      <x:c r="B9" s="21" t="str">
        <x:v>Rede</x:v>
      </x:c>
      <x:c r="C9" s="21" t="str">
        <x:v>Ocupação e bloqueios</x:v>
      </x:c>
      <x:c r="D9" s="21" t="str">
        <x:v>% e leito</x:v>
      </x:c>
      <x:c r="E9" s="21" t="str">
        <x:v>24 meses</x:v>
      </x:c>
      <x:c r="F9" s="21" t="str">
        <x:v>IndicaSUS Monitora</x:v>
      </x:c>
      <x:c r="G9" s="22" t="str"/>
      <x:c r="H9" s="22" t="str">
        <x:v>Não iniciado</x:v>
      </x:c>
      <x:c r="I9" s="21" t="str">
        <x:v>Gatilhos</x:v>
      </x:c>
    </x:row>
    <x:row r="10">
      <x:c r="A10" s="21" t="str">
        <x:v>D05</x:v>
      </x:c>
      <x:c r="B10" s="21" t="str">
        <x:v>Regulação</x:v>
      </x:c>
      <x:c r="C10" s="21" t="str">
        <x:v>Espera e transferências</x:v>
      </x:c>
      <x:c r="D10" s="21" t="str">
        <x:v>hora pessoa</x:v>
      </x:c>
      <x:c r="E10" s="21" t="str">
        <x:v>24 meses</x:v>
      </x:c>
      <x:c r="F10" s="21" t="str">
        <x:v>SISREG</x:v>
      </x:c>
      <x:c r="G10" s="22" t="str"/>
      <x:c r="H10" s="22" t="str">
        <x:v>Não iniciado</x:v>
      </x:c>
      <x:c r="I10" s="21" t="str">
        <x:v>Priorização territorial</x:v>
      </x:c>
    </x:row>
    <x:row r="11">
      <x:c r="A11" s="21" t="str">
        <x:v>D06</x:v>
      </x:c>
      <x:c r="B11" s="21" t="str">
        <x:v>Epidemiologia</x:v>
      </x:c>
      <x:c r="C11" s="21" t="str">
        <x:v>Surtos e demanda adicional</x:v>
      </x:c>
      <x:c r="D11" s="21" t="str">
        <x:v>caso internação</x:v>
      </x:c>
      <x:c r="E11" s="21" t="str">
        <x:v>5 anos</x:v>
      </x:c>
      <x:c r="F11" s="21" t="str">
        <x:v>SINAN SIVEP GAL</x:v>
      </x:c>
      <x:c r="G11" s="22" t="str"/>
      <x:c r="H11" s="22" t="str">
        <x:v>Não iniciado</x:v>
      </x:c>
      <x:c r="I11" s="21" t="str">
        <x:v>Perfil assistencial</x:v>
      </x:c>
    </x:row>
    <x:row r="12">
      <x:c r="A12" s="21" t="str">
        <x:v>D07</x:v>
      </x:c>
      <x:c r="B12" s="21" t="str">
        <x:v>Clima</x:v>
      </x:c>
      <x:c r="C12" s="21" t="str">
        <x:v>Incêndio, fumaça, calor e seca</x:v>
      </x:c>
      <x:c r="D12" s="21" t="str">
        <x:v>evento índice</x:v>
      </x:c>
      <x:c r="E12" s="21" t="str">
        <x:v>5–10 anos</x:v>
      </x:c>
      <x:c r="F12" s="21" t="str">
        <x:v>ARARAS TITAN</x:v>
      </x:c>
      <x:c r="G12" s="22" t="str"/>
      <x:c r="H12" s="22" t="str">
        <x:v>Não iniciado</x:v>
      </x:c>
      <x:c r="I12" s="21" t="str">
        <x:v>Sazonalidade</x:v>
      </x:c>
    </x:row>
    <x:row r="13">
      <x:c r="A13" s="21" t="str">
        <x:v>D08</x:v>
      </x:c>
      <x:c r="B13" s="21" t="str">
        <x:v>Clima</x:v>
      </x:c>
      <x:c r="C13" s="21" t="str">
        <x:v>Inundações e isolamento</x:v>
      </x:c>
      <x:c r="D13" s="21" t="str">
        <x:v>evento dia</x:v>
      </x:c>
      <x:c r="E13" s="21" t="str">
        <x:v>5–10 anos</x:v>
      </x:c>
      <x:c r="F13" s="21" t="str">
        <x:v>Defesa Civil</x:v>
      </x:c>
      <x:c r="G13" s="22" t="str"/>
      <x:c r="H13" s="22" t="str">
        <x:v>Não iniciado</x:v>
      </x:c>
      <x:c r="I13" s="21" t="str">
        <x:v>Logística</x:v>
      </x:c>
    </x:row>
    <x:row r="14">
      <x:c r="A14" s="21" t="str">
        <x:v>D09</x:v>
      </x:c>
      <x:c r="B14" s="21" t="str">
        <x:v>Logística</x:v>
      </x:c>
      <x:c r="C14" s="21" t="str">
        <x:v>Distâncias e tempos rodoviários</x:v>
      </x:c>
      <x:c r="D14" s="21" t="str">
        <x:v>km hora</x:v>
      </x:c>
      <x:c r="E14" s="21" t="str">
        <x:v>Atual sazonal</x:v>
      </x:c>
      <x:c r="F14" s="21" t="str">
        <x:v>Infraestrutura rotas</x:v>
      </x:c>
      <x:c r="G14" s="22" t="str"/>
      <x:c r="H14" s="22" t="str">
        <x:v>Não iniciado</x:v>
      </x:c>
      <x:c r="I14" s="21" t="str">
        <x:v>SLA e base</x:v>
      </x:c>
    </x:row>
    <x:row r="15">
      <x:c r="A15" s="21" t="str">
        <x:v>D10</x:v>
      </x:c>
      <x:c r="B15" s="21" t="str">
        <x:v>Logística</x:v>
      </x:c>
      <x:c r="C15" s="21" t="str">
        <x:v>Aeródromos e pistas</x:v>
      </x:c>
      <x:c r="D15" s="21" t="str">
        <x:v>unidade classe</x:v>
      </x:c>
      <x:c r="E15" s="21" t="str">
        <x:v>Atual</x:v>
      </x:c>
      <x:c r="F15" s="21" t="str">
        <x:v>Órgãos competentes</x:v>
      </x:c>
      <x:c r="G15" s="22" t="str"/>
      <x:c r="H15" s="22" t="str">
        <x:v>Não iniciado</x:v>
      </x:c>
      <x:c r="I15" s="21" t="str">
        <x:v>Contingência</x:v>
      </x:c>
    </x:row>
    <x:row r="16">
      <x:c r="A16" s="21" t="str">
        <x:v>D11</x:v>
      </x:c>
      <x:c r="B16" s="21" t="str">
        <x:v>Comunicação</x:v>
      </x:c>
      <x:c r="C16" s="21" t="str">
        <x:v>Cobertura móvel e rádio</x:v>
      </x:c>
      <x:c r="D16" s="21" t="str">
        <x:v>% território</x:v>
      </x:c>
      <x:c r="E16" s="21" t="str">
        <x:v>Atual</x:v>
      </x:c>
      <x:c r="F16" s="21" t="str">
        <x:v>Operadoras e segurança</x:v>
      </x:c>
      <x:c r="G16" s="22" t="str"/>
      <x:c r="H16" s="22" t="str">
        <x:v>Não iniciado</x:v>
      </x:c>
      <x:c r="I16" s="21" t="str">
        <x:v>Redundância</x:v>
      </x:c>
    </x:row>
    <x:row r="17">
      <x:c r="A17" s="21" t="str">
        <x:v>D12</x:v>
      </x:c>
      <x:c r="B17" s="21" t="str">
        <x:v>Custos</x:v>
      </x:c>
      <x:c r="C17" s="21" t="str">
        <x:v>Contratos e respostas anteriores</x:v>
      </x:c>
      <x:c r="D17" s="21" t="str">
        <x:v>R$</x:v>
      </x:c>
      <x:c r="E17" s="21" t="str">
        <x:v>5 anos</x:v>
      </x:c>
      <x:c r="F17" s="21" t="str">
        <x:v>SIAG SES MT</x:v>
      </x:c>
      <x:c r="G17" s="22" t="str"/>
      <x:c r="H17" s="22" t="str">
        <x:v>Não iniciado</x:v>
      </x:c>
      <x:c r="I17" s="21" t="str">
        <x:v>Orçamento</x:v>
      </x:c>
    </x:row>
    <x:row r="18">
      <x:c r="A18" s="21" t="str">
        <x:v>D13</x:v>
      </x:c>
      <x:c r="B18" s="21" t="str">
        <x:v>Custos</x:v>
      </x:c>
      <x:c r="C18" s="21" t="str">
        <x:v>Combustível, frete e diária</x:v>
      </x:c>
      <x:c r="D18" s="21" t="str">
        <x:v>R$</x:v>
      </x:c>
      <x:c r="E18" s="21" t="str">
        <x:v>Atual</x:v>
      </x:c>
      <x:c r="F18" s="21" t="str">
        <x:v>Pesquisa de preços</x:v>
      </x:c>
      <x:c r="G18" s="22" t="str"/>
      <x:c r="H18" s="22" t="str">
        <x:v>Não iniciado</x:v>
      </x:c>
      <x:c r="I18" s="21" t="str">
        <x:v>Preço unitário</x:v>
      </x:c>
    </x:row>
    <x:row r="19">
      <x:c r="A19" s="21" t="str">
        <x:v>D14</x:v>
      </x:c>
      <x:c r="B19" s="21" t="str">
        <x:v>População</x:v>
      </x:c>
      <x:c r="C19" s="21" t="str">
        <x:v>População e vulnerabilidade</x:v>
      </x:c>
      <x:c r="D19" s="21" t="str">
        <x:v>pessoa índice</x:v>
      </x:c>
      <x:c r="E19" s="21" t="str">
        <x:v>Atual</x:v>
      </x:c>
      <x:c r="F19" s="21" t="str">
        <x:v>IBGE bases sociais</x:v>
      </x:c>
      <x:c r="G19" s="22" t="str"/>
      <x:c r="H19" s="22" t="str">
        <x:v>Não iniciado</x:v>
      </x:c>
      <x:c r="I19" s="21" t="str">
        <x:v>Equidade</x:v>
      </x:c>
    </x:row>
  </x:sheetData>
  <x:mergeCells>
    <x:mergeCell ref="A1:H1"/>
    <x:mergeCell ref="A3:H3"/>
  </x:mergeCells>
  <x:conditionalFormatting sqref="H6:H19">
    <x:cfRule type="containsText" dxfId="1" priority="1" operator="containsText" text="Não iniciado"/>
  </x:conditionalFormatting>
  <x:dataValidations count="1">
    <x:dataValidation type="list" sqref="H6:H19">
      <x:formula1>"Não iniciado,Em coleta,Em validação,Concluído"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30" hidden="0" customWidth="1"/>
    <x:col min="5" max="5" width="28" hidden="0" customWidth="1"/>
    <x:col min="6" max="6" width="18" hidden="0" customWidth="1"/>
  </x:cols>
  <x:sheetData>
    <x:row r="1" ht="26" customHeight="1">
      <x:c r="A1" s="2" t="str">
        <x:v>Controle de decisões e pendências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Nenhuma pendência material deve permanecer aberta na versão publicável.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ID</x:v>
      </x:c>
      <x:c r="B5" s="17" t="str">
        <x:v>Eixo</x:v>
      </x:c>
      <x:c r="C5" s="17" t="str">
        <x:v>Decisão</x:v>
      </x:c>
      <x:c r="D5" s="17" t="str">
        <x:v>Entregável</x:v>
      </x:c>
      <x:c r="E5" s="17" t="str">
        <x:v>Responsável sugerido</x:v>
      </x:c>
      <x:c r="F5" s="17" t="str">
        <x:v>Status</x:v>
      </x:c>
      <x:c r="G5" s="34"/>
      <x:c r="H5" s="34"/>
    </x:row>
    <x:row r="6">
      <x:c r="A6" s="21" t="str">
        <x:v>P01</x:v>
      </x:c>
      <x:c r="B6" s="21" t="str">
        <x:v>Classificação</x:v>
      </x:c>
      <x:c r="C6" s="21" t="str">
        <x:v>Comum ou especial</x:v>
      </x:c>
      <x:c r="D6" s="21" t="str">
        <x:v>Nota de classificação</x:v>
      </x:c>
      <x:c r="E6" s="22" t="str">
        <x:v>Licitações e área técnica</x:v>
      </x:c>
      <x:c r="F6" s="22" t="str">
        <x:v>Não iniciada</x:v>
      </x:c>
      <x:c r="G6" s="34"/>
      <x:c r="H6" s="34"/>
    </x:row>
    <x:row r="7">
      <x:c r="A7" s="21" t="str">
        <x:v>P02</x:v>
      </x:c>
      <x:c r="B7" s="21" t="str">
        <x:v>Seleção</x:v>
      </x:c>
      <x:c r="C7" s="21" t="str">
        <x:v>Modalidade e critério</x:v>
      </x:c>
      <x:c r="D7" s="21" t="str">
        <x:v>Decisão motivada</x:v>
      </x:c>
      <x:c r="E7" s="22" t="str">
        <x:v>Licitações e PGE MT</x:v>
      </x:c>
      <x:c r="F7" s="22" t="str">
        <x:v>Não iniciada</x:v>
      </x:c>
      <x:c r="G7" s="34"/>
      <x:c r="H7" s="34"/>
    </x:row>
    <x:row r="8">
      <x:c r="A8" s="21" t="str">
        <x:v>P03</x:v>
      </x:c>
      <x:c r="B8" s="21" t="str">
        <x:v>Objeto</x:v>
      </x:c>
      <x:c r="C8" s="21" t="str">
        <x:v>Lote ou parcelamento</x:v>
      </x:c>
      <x:c r="D8" s="21" t="str">
        <x:v>Análise de mercado</x:v>
      </x:c>
      <x:c r="E8" s="22" t="str">
        <x:v>Planejamento</x:v>
      </x:c>
      <x:c r="F8" s="22" t="str">
        <x:v>Não iniciada</x:v>
      </x:c>
      <x:c r="G8" s="34"/>
      <x:c r="H8" s="34"/>
    </x:row>
    <x:row r="9">
      <x:c r="A9" s="21" t="str">
        <x:v>P04</x:v>
      </x:c>
      <x:c r="B9" s="21" t="str">
        <x:v>Execução</x:v>
      </x:c>
      <x:c r="C9" s="21" t="str">
        <x:v>Regime de execução</x:v>
      </x:c>
      <x:c r="D9" s="21" t="str">
        <x:v>Nota técnica e jurídica</x:v>
      </x:c>
      <x:c r="E9" s="22" t="str">
        <x:v>Planejamento e PGE MT</x:v>
      </x:c>
      <x:c r="F9" s="22" t="str">
        <x:v>Não iniciada</x:v>
      </x:c>
      <x:c r="G9" s="34"/>
      <x:c r="H9" s="34"/>
    </x:row>
    <x:row r="10">
      <x:c r="A10" s="21" t="str">
        <x:v>P05</x:v>
      </x:c>
      <x:c r="B10" s="21" t="str">
        <x:v>Escopo</x:v>
      </x:c>
      <x:c r="C10" s="21" t="str">
        <x:v>Equipes assistenciais</x:v>
      </x:c>
      <x:c r="D10" s="21" t="str">
        <x:v>Plano assistencial</x:v>
      </x:c>
      <x:c r="E10" s="22" t="str">
        <x:v>SES MT</x:v>
      </x:c>
      <x:c r="F10" s="22" t="str">
        <x:v>Não iniciada</x:v>
      </x:c>
      <x:c r="G10" s="34"/>
      <x:c r="H10" s="34"/>
    </x:row>
    <x:row r="11">
      <x:c r="A11" s="21" t="str">
        <x:v>P06</x:v>
      </x:c>
      <x:c r="B11" s="21" t="str">
        <x:v>Escopo</x:v>
      </x:c>
      <x:c r="C11" s="21" t="str">
        <x:v>UTI no N4</x:v>
      </x:c>
      <x:c r="D11" s="21" t="str">
        <x:v>Dimensionamento</x:v>
      </x:c>
      <x:c r="E11" s="22" t="str">
        <x:v>Assistência</x:v>
      </x:c>
      <x:c r="F11" s="22" t="str">
        <x:v>Não iniciada</x:v>
      </x:c>
      <x:c r="G11" s="34"/>
      <x:c r="H11" s="34"/>
    </x:row>
    <x:row r="12">
      <x:c r="A12" s="21" t="str">
        <x:v>P07</x:v>
      </x:c>
      <x:c r="B12" s="21" t="str">
        <x:v>Logística</x:v>
      </x:c>
      <x:c r="C12" s="21" t="str">
        <x:v>Base e disponibilidade exclusiva</x:v>
      </x:c>
      <x:c r="D12" s="21" t="str">
        <x:v>Estudo de tempos e preço</x:v>
      </x:c>
      <x:c r="E12" s="22" t="str">
        <x:v>Logística</x:v>
      </x:c>
      <x:c r="F12" s="22" t="str">
        <x:v>Não iniciada</x:v>
      </x:c>
      <x:c r="G12" s="34"/>
      <x:c r="H12" s="34"/>
    </x:row>
    <x:row r="13">
      <x:c r="A13" s="21" t="str">
        <x:v>P08</x:v>
      </x:c>
      <x:c r="B13" s="21" t="str">
        <x:v>Mercado</x:v>
      </x:c>
      <x:c r="C13" s="21" t="str">
        <x:v>Consulta a fornecedores</x:v>
      </x:c>
      <x:c r="D13" s="21" t="str">
        <x:v>Relatório</x:v>
      </x:c>
      <x:c r="E13" s="22" t="str">
        <x:v>Aquisições</x:v>
      </x:c>
      <x:c r="F13" s="22" t="str">
        <x:v>Não iniciada</x:v>
      </x:c>
      <x:c r="G13" s="34"/>
      <x:c r="H13" s="34"/>
    </x:row>
    <x:row r="14">
      <x:c r="A14" s="21" t="str">
        <x:v>P09</x:v>
      </x:c>
      <x:c r="B14" s="21" t="str">
        <x:v>Preço</x:v>
      </x:c>
      <x:c r="C14" s="21" t="str">
        <x:v>Pesquisa de preços</x:v>
      </x:c>
      <x:c r="D14" s="21" t="str">
        <x:v>Mapa e memória</x:v>
      </x:c>
      <x:c r="E14" s="22" t="str">
        <x:v>Aquisições</x:v>
      </x:c>
      <x:c r="F14" s="22" t="str">
        <x:v>Não iniciada</x:v>
      </x:c>
      <x:c r="G14" s="34"/>
      <x:c r="H14" s="34"/>
    </x:row>
    <x:row r="15">
      <x:c r="A15" s="21" t="str">
        <x:v>P10</x:v>
      </x:c>
      <x:c r="B15" s="21" t="str">
        <x:v>Habilitação</x:v>
      </x:c>
      <x:c r="C15" s="21" t="str">
        <x:v>Parcelas relevantes e percentuais</x:v>
      </x:c>
      <x:c r="D15" s="21" t="str">
        <x:v>Justificativa</x:v>
      </x:c>
      <x:c r="E15" s="22" t="str">
        <x:v>Área técnica</x:v>
      </x:c>
      <x:c r="F15" s="22" t="str">
        <x:v>Não iniciada</x:v>
      </x:c>
      <x:c r="G15" s="34"/>
      <x:c r="H15" s="34"/>
    </x:row>
    <x:row r="16">
      <x:c r="A16" s="21" t="str">
        <x:v>P11</x:v>
      </x:c>
      <x:c r="B16" s="21" t="str">
        <x:v>Financeiro</x:v>
      </x:c>
      <x:c r="C16" s="21" t="str">
        <x:v>Índices e garantias</x:v>
      </x:c>
      <x:c r="D16" s="21" t="str">
        <x:v>Justificativa</x:v>
      </x:c>
      <x:c r="E16" s="22" t="str">
        <x:v>Contabilidade e jurídico</x:v>
      </x:c>
      <x:c r="F16" s="22" t="str">
        <x:v>Não iniciada</x:v>
      </x:c>
      <x:c r="G16" s="34"/>
      <x:c r="H16" s="34"/>
    </x:row>
    <x:row r="17">
      <x:c r="A17" s="21" t="str">
        <x:v>P12</x:v>
      </x:c>
      <x:c r="B17" s="21" t="str">
        <x:v>SLA</x:v>
      </x:c>
      <x:c r="C17" s="21" t="str">
        <x:v>Glosas e multas</x:v>
      </x:c>
      <x:c r="D17" s="21" t="str">
        <x:v>Simulação econômica</x:v>
      </x:c>
      <x:c r="E17" s="22" t="str">
        <x:v>Gestão e jurídico</x:v>
      </x:c>
      <x:c r="F17" s="22" t="str">
        <x:v>Não iniciada</x:v>
      </x:c>
      <x:c r="G17" s="34"/>
      <x:c r="H17" s="34"/>
    </x:row>
    <x:row r="18">
      <x:c r="A18" s="21" t="str">
        <x:v>P13</x:v>
      </x:c>
      <x:c r="B18" s="21" t="str">
        <x:v>Prova</x:v>
      </x:c>
      <x:c r="C18" s="21" t="str">
        <x:v>Prova de conceito</x:v>
      </x:c>
      <x:c r="D18" s="21" t="str">
        <x:v>Roteiro e decisão</x:v>
      </x:c>
      <x:c r="E18" s="22" t="str">
        <x:v>Área técnica</x:v>
      </x:c>
      <x:c r="F18" s="22" t="str">
        <x:v>Não iniciada</x:v>
      </x:c>
      <x:c r="G18" s="34"/>
      <x:c r="H18" s="34"/>
    </x:row>
    <x:row r="19">
      <x:c r="A19" s="21" t="str">
        <x:v>P14</x:v>
      </x:c>
      <x:c r="B19" s="21" t="str">
        <x:v>Dados</x:v>
      </x:c>
      <x:c r="C19" s="21" t="str">
        <x:v>Séries estaduais</x:v>
      </x:c>
      <x:c r="D19" s="21" t="str">
        <x:v>Base validada</x:v>
      </x:c>
      <x:c r="E19" s="22" t="str">
        <x:v>SIS CIEVS</x:v>
      </x:c>
      <x:c r="F19" s="22" t="str">
        <x:v>Não iniciada</x:v>
      </x:c>
      <x:c r="G19" s="34"/>
      <x:c r="H19" s="34"/>
    </x:row>
    <x:row r="20">
      <x:c r="A20" s="21" t="str">
        <x:v>P15</x:v>
      </x:c>
      <x:c r="B20" s="21" t="str">
        <x:v>Orçamento</x:v>
      </x:c>
      <x:c r="C20" s="21" t="str">
        <x:v>Dotação e cronograma</x:v>
      </x:c>
      <x:c r="D20" s="21" t="str">
        <x:v>Declaração</x:v>
      </x:c>
      <x:c r="E20" s="22" t="str">
        <x:v>Orçamento</x:v>
      </x:c>
      <x:c r="F20" s="22" t="str">
        <x:v>Não iniciada</x:v>
      </x:c>
      <x:c r="G20" s="34"/>
      <x:c r="H20" s="34"/>
    </x:row>
    <x:row r="21">
      <x:c r="A21" s="21" t="str">
        <x:v>P16</x:v>
      </x:c>
      <x:c r="B21" s="21" t="str">
        <x:v>Jurídico</x:v>
      </x:c>
      <x:c r="C21" s="21" t="str">
        <x:v>Modelo oficial e parecer</x:v>
      </x:c>
      <x:c r="D21" s="21" t="str">
        <x:v>Validação</x:v>
      </x:c>
      <x:c r="E21" s="22" t="str">
        <x:v>PGE MT</x:v>
      </x:c>
      <x:c r="F21" s="22" t="str">
        <x:v>Não iniciada</x:v>
      </x:c>
      <x:c r="G21" s="34"/>
      <x:c r="H21" s="34"/>
    </x:row>
    <x:row r="22">
      <x:c r="A22" s="21" t="str">
        <x:v>P17</x:v>
      </x:c>
      <x:c r="B22" s="21" t="str">
        <x:v>Governança</x:v>
      </x:c>
      <x:c r="C22" s="21" t="str">
        <x:v>Gestor e fiscais</x:v>
      </x:c>
      <x:c r="D22" s="21" t="str">
        <x:v>Designação</x:v>
      </x:c>
      <x:c r="E22" s="22" t="str">
        <x:v>SES MT</x:v>
      </x:c>
      <x:c r="F22" s="22" t="str">
        <x:v>Não iniciada</x:v>
      </x:c>
      <x:c r="G22" s="34"/>
      <x:c r="H22" s="34"/>
    </x:row>
    <x:row r="23">
      <x:c r="A23" s="21" t="str">
        <x:v>P18</x:v>
      </x:c>
      <x:c r="B23" s="21" t="str">
        <x:v>Sanitário</x:v>
      </x:c>
      <x:c r="C23" s="21" t="str">
        <x:v>Licenças e fluxos</x:v>
      </x:c>
      <x:c r="D23" s="21" t="str">
        <x:v>Validação</x:v>
      </x:c>
      <x:c r="E23" s="22" t="str">
        <x:v>Vigilância sanitária</x:v>
      </x:c>
      <x:c r="F23" s="22" t="str">
        <x:v>Não iniciada</x:v>
      </x:c>
      <x:c r="G23" s="34"/>
      <x:c r="H23" s="34"/>
    </x:row>
  </x:sheetData>
  <x:mergeCells>
    <x:mergeCell ref="A1:H1"/>
    <x:mergeCell ref="A3:H3"/>
  </x:mergeCells>
  <x:conditionalFormatting sqref="F6:F23">
    <x:cfRule type="containsText" dxfId="2" priority="1" operator="containsText" text="Não iniciada"/>
    <x:cfRule type="containsText" dxfId="3" priority="2" operator="containsText" text="Concluída"/>
  </x:conditionalFormatting>
  <x:dataValidations count="1">
    <x:dataValidation type="list" sqref="F6:F23">
      <x:formula1>"Não iniciada,Em andamento,Em validação,Concluída"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40" hidden="0" customWidth="1"/>
    <x:col min="4" max="4" width="85" hidden="0" customWidth="1"/>
  </x:cols>
  <x:sheetData>
    <x:row r="1" ht="26" customHeight="1">
      <x:c r="A1" s="2" t="str">
        <x:v>Fontes e referências</x:v>
      </x:c>
      <x:c r="B1" s="2"/>
      <x:c r="C1" s="2"/>
      <x:c r="D1" s="2"/>
      <x:c r="E1" s="2"/>
      <x:c r="F1" s="2"/>
      <x:c r="G1" s="2"/>
      <x:c r="H1" s="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33" t="str">
        <x:v>Usar a versão vigente no momento da publicação e juntar os documentos relevantes aos autos.</x:v>
      </x:c>
      <x:c r="B3" s="33"/>
      <x:c r="C3" s="33"/>
      <x:c r="D3" s="33"/>
      <x:c r="E3" s="33"/>
      <x:c r="F3" s="33"/>
      <x:c r="G3" s="33"/>
      <x:c r="H3" s="33"/>
    </x:row>
    <x:row r="4">
      <x:c r="A4" s="34"/>
      <x:c r="B4" s="34"/>
      <x:c r="C4" s="34"/>
      <x:c r="D4" s="34"/>
      <x:c r="E4" s="34"/>
      <x:c r="F4" s="34"/>
      <x:c r="G4" s="34"/>
      <x:c r="H4" s="34"/>
    </x:row>
    <x:row r="5">
      <x:c r="A5" s="17" t="str">
        <x:v>ID</x:v>
      </x:c>
      <x:c r="B5" s="17" t="str">
        <x:v>Fonte</x:v>
      </x:c>
      <x:c r="C5" s="17" t="str">
        <x:v>Uso</x:v>
      </x:c>
      <x:c r="D5" s="17" t="str">
        <x:v>URL</x:v>
      </x:c>
      <x:c r="E5" s="34"/>
      <x:c r="F5" s="34"/>
      <x:c r="G5" s="34"/>
      <x:c r="H5" s="34"/>
    </x:row>
    <x:row r="6">
      <x:c r="A6" s="21" t="str">
        <x:v>F01</x:v>
      </x:c>
      <x:c r="B6" s="21" t="str">
        <x:v>Lei Federal nº 14.133 de 2021</x:v>
      </x:c>
      <x:c r="C6" s="21" t="str">
        <x:v>Planejamento, seleção, contrato e riscos</x:v>
      </x:c>
      <x:c r="D6" s="21" t="str">
        <x:v>https://www.planalto.gov.br/ccivil_03/_ato2019-2022/2021/lei/l14133.htm</x:v>
      </x:c>
      <x:c r="E6" s="34"/>
      <x:c r="F6" s="34"/>
      <x:c r="G6" s="34"/>
      <x:c r="H6" s="34"/>
    </x:row>
    <x:row r="7">
      <x:c r="A7" s="21" t="str">
        <x:v>F02</x:v>
      </x:c>
      <x:c r="B7" s="21" t="str">
        <x:v>Decreto Estadual nº 1.525 de 2022</x:v>
      </x:c>
      <x:c r="C7" s="21" t="str">
        <x:v>Regulamentação no Estado de Mato Grosso</x:v>
      </x:c>
      <x:c r="D7" s="21" t="str">
        <x:v>https://aquisicoes.seplag.mt.gov.br/home/images/files/DecretoEstadual118022025155448.525</x:v>
      </x:c>
      <x:c r="E7" s="34"/>
      <x:c r="F7" s="34"/>
      <x:c r="G7" s="34"/>
      <x:c r="H7" s="34"/>
    </x:row>
    <x:row r="8">
      <x:c r="A8" s="21" t="str">
        <x:v>F03</x:v>
      </x:c>
      <x:c r="B8" s="21" t="str">
        <x:v>Consulta Pública FN SUS 2026</x:v>
      </x:c>
      <x:c r="C8" s="21" t="str">
        <x:v>Benchmark técnico e de mercado</x:v>
      </x:c>
      <x:c r="D8" s="21" t="str">
        <x:v>https://www.gov.br/saude/pt-br/acesso-a-informacao/participacao-social/consultas-publicas/2026/coleta-de-informacoes-para-formacao-de-precos-visando-atender-aos-requisitos-tecnicos-e-operacionais-aplicaveis-as-emt</x:v>
      </x:c>
      <x:c r="E8" s="34"/>
      <x:c r="F8" s="34"/>
      <x:c r="G8" s="34"/>
      <x:c r="H8" s="34"/>
    </x:row>
    <x:row r="9">
      <x:c r="A9" s="21" t="str">
        <x:v>F04</x:v>
      </x:c>
      <x:c r="B9" s="21" t="str">
        <x:v>OMS EMT Blue Book segunda edição</x:v>
      </x:c>
      <x:c r="C9" s="21" t="str">
        <x:v>Referência EMT Tipo 2</x:v>
      </x:c>
      <x:c r="D9" s="21" t="str">
        <x:v>https://www.who.int/publications/i/item/9789240029330</x:v>
      </x:c>
      <x:c r="E9" s="34"/>
      <x:c r="F9" s="34"/>
      <x:c r="G9" s="34"/>
      <x:c r="H9" s="34"/>
    </x:row>
    <x:row r="10">
      <x:c r="A10" s="21" t="str">
        <x:v>F05</x:v>
      </x:c>
      <x:c r="B10" s="21" t="str">
        <x:v>ANVISA RDC 50 2002</x:v>
      </x:c>
      <x:c r="C10" s="21" t="str">
        <x:v>Planejamento físico funcional</x:v>
      </x:c>
      <x:c r="D10" s="21" t="str">
        <x:v>Consultar portal oficial e versão vigente</x:v>
      </x:c>
      <x:c r="E10" s="34"/>
      <x:c r="F10" s="34"/>
      <x:c r="G10" s="34"/>
      <x:c r="H10" s="34"/>
    </x:row>
    <x:row r="11">
      <x:c r="A11" s="21" t="str">
        <x:v>F06</x:v>
      </x:c>
      <x:c r="B11" s="21" t="str">
        <x:v>ANVISA RDC 63 2011</x:v>
      </x:c>
      <x:c r="C11" s="21" t="str">
        <x:v>Boas práticas de serviços de saúde</x:v>
      </x:c>
      <x:c r="D11" s="21" t="str">
        <x:v>Consultar portal oficial e versão vigente</x:v>
      </x:c>
      <x:c r="E11" s="34"/>
      <x:c r="F11" s="34"/>
      <x:c r="G11" s="34"/>
      <x:c r="H11" s="34"/>
    </x:row>
    <x:row r="12">
      <x:c r="A12" s="34" t="str">
        <x:v>F07</x:v>
      </x:c>
      <x:c r="B12" s="34" t="str">
        <x:v>ANVISA RDC 222 2018</x:v>
      </x:c>
      <x:c r="C12" s="34" t="str">
        <x:v>Resíduos de serviços de saúde</x:v>
      </x:c>
      <x:c r="D12" s="34" t="str">
        <x:v>Consultar portal oficial e versão vigente</x:v>
      </x:c>
      <x:c r="E12" s="34"/>
      <x:c r="F12" s="34"/>
      <x:c r="G12" s="34"/>
      <x:c r="H12" s="34"/>
    </x:row>
  </x:sheetData>
  <x:mergeCells>
    <x:mergeCell ref="A1:H1"/>
    <x:mergeCell ref="A3:H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003966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28" hidden="0" customWidth="1"/>
    <x:col min="9" max="9" width="38" hidden="0" customWidth="1"/>
  </x:cols>
  <x:sheetData>
    <x:row r="1">
      <x:c r="A1" s="36" t="str">
        <x:v>Configuração da missão UHMR</x:v>
      </x:c>
    </x:row>
    <x:row r="3" ht="28" customHeight="1">
      <x:c r="A3" s="40" t="str">
        <x:v>Revisão</x:v>
      </x:c>
      <x:c r="B3" s="40" t="str">
        <x:v>2.1 — 28/09/2026</x:v>
      </x:c>
      <x:c r="C3" s="40"/>
      <x:c r="D3" s="40"/>
      <x:c r="E3" s="40"/>
      <x:c r="F3" s="40"/>
      <x:c r="G3" s="40"/>
      <x:c r="H3" s="40"/>
      <x:c r="I3" s="40"/>
    </x:row>
    <x:row r="4" ht="28" customHeight="1">
      <x:c r="A4" s="40" t="str">
        <x:v>Modalidade da missão</x:v>
      </x:c>
      <x:c r="B4" s="41" t="str">
        <x:v>A definir</x:v>
      </x:c>
      <x:c r="C4" s="40"/>
      <x:c r="D4" s="40"/>
      <x:c r="E4" s="40"/>
      <x:c r="F4" s="40"/>
      <x:c r="G4" s="40"/>
      <x:c r="H4" s="40"/>
      <x:c r="I4" s="40"/>
    </x:row>
    <x:row r="5" ht="28" customHeight="1">
      <x:c r="A5" s="40" t="str">
        <x:v>Nível de referência</x:v>
      </x:c>
      <x:c r="B5" s="41" t="str">
        <x:v>Não obrigatório</x:v>
      </x:c>
      <x:c r="C5" s="40"/>
      <x:c r="D5" s="40"/>
      <x:c r="E5" s="40"/>
      <x:c r="F5" s="40"/>
      <x:c r="G5" s="40"/>
      <x:c r="H5" s="40"/>
      <x:c r="I5" s="40"/>
    </x:row>
    <x:row r="6" ht="28" customHeight="1">
      <x:c r="A6" s="40" t="str">
        <x:v>Nota técnica e risco</x:v>
      </x:c>
      <x:c r="B6" s="41"/>
      <x:c r="C6" s="40"/>
      <x:c r="D6" s="40"/>
      <x:c r="E6" s="40"/>
      <x:c r="F6" s="40"/>
      <x:c r="G6" s="40"/>
      <x:c r="H6" s="40"/>
      <x:c r="I6" s="40"/>
    </x:row>
    <x:row r="7" ht="28" customHeight="1">
      <x:c r="A7" s="40" t="str">
        <x:v>Cenários e capacidade da rede</x:v>
      </x:c>
      <x:c r="B7" s="41"/>
      <x:c r="C7" s="40"/>
      <x:c r="D7" s="40"/>
      <x:c r="E7" s="40"/>
      <x:c r="F7" s="40"/>
      <x:c r="G7" s="40"/>
      <x:c r="H7" s="40"/>
      <x:c r="I7" s="40"/>
    </x:row>
    <x:row r="8" ht="28" customHeight="1">
      <x:c r="A8" s="40" t="str">
        <x:v>OA e decisão do Secretário</x:v>
      </x:c>
      <x:c r="B8" s="41"/>
      <x:c r="C8" s="40"/>
      <x:c r="D8" s="40"/>
      <x:c r="E8" s="40"/>
      <x:c r="F8" s="40"/>
      <x:c r="G8" s="40"/>
      <x:c r="H8" s="40"/>
      <x:c r="I8" s="40"/>
    </x:row>
    <x:row r="9" ht="28" customHeight="1">
      <x:c r="A9" s="40" t="str">
        <x:v>Destino e prazo</x:v>
      </x:c>
      <x:c r="B9" s="41"/>
      <x:c r="C9" s="40"/>
      <x:c r="D9" s="40"/>
      <x:c r="E9" s="40"/>
      <x:c r="F9" s="40"/>
      <x:c r="G9" s="40"/>
      <x:c r="H9" s="40"/>
      <x:c r="I9" s="40"/>
    </x:row>
    <x:row r="10" ht="28" customHeight="1">
      <x:c r="A10" s="40" t="str">
        <x:v>Dependências e responsáveis</x:v>
      </x:c>
      <x:c r="B10" s="41"/>
      <x:c r="C10" s="40"/>
      <x:c r="D10" s="40"/>
      <x:c r="E10" s="40"/>
      <x:c r="F10" s="40"/>
      <x:c r="G10" s="40"/>
      <x:c r="H10" s="40"/>
      <x:c r="I10" s="40"/>
    </x:row>
    <x:row r="11" ht="28" customHeight="1">
      <x:c r="A11" s="40" t="str">
        <x:v>Meses de prontidão</x:v>
      </x:c>
      <x:c r="B11" s="41" t="n">
        <x:v>12</x:v>
      </x:c>
      <x:c r="C11" s="40"/>
      <x:c r="D11" s="40"/>
      <x:c r="E11" s="40"/>
      <x:c r="F11" s="40"/>
      <x:c r="G11" s="40"/>
      <x:c r="H11" s="40"/>
      <x:c r="I11" s="40"/>
    </x:row>
    <x:row r="12" ht="28" customHeight="1">
      <x:c r="A12" s="40" t="str">
        <x:v>Mensalidade N0</x:v>
      </x:c>
      <x:c r="B12" s="49" t="str">
        <x:f>IF(Custos!D6="","",Custos!D6)</x:f>
      </x:c>
      <x:c r="C12" s="40"/>
      <x:c r="D12" s="40"/>
      <x:c r="E12" s="40"/>
      <x:c r="F12" s="40"/>
      <x:c r="G12" s="40"/>
      <x:c r="H12" s="40"/>
      <x:c r="I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</x:row>
    <x:row r="14" ht="34" customHeight="1">
      <x:c r="A14" s="45" t="str">
        <x:v>Item ou módulo</x:v>
      </x:c>
      <x:c r="B14" s="45" t="str">
        <x:v>Unidade</x:v>
      </x:c>
      <x:c r="C14" s="45" t="str">
        <x:v>Quantidade</x:v>
      </x:c>
      <x:c r="D14" s="45" t="str">
        <x:v>Períodos</x:v>
      </x:c>
      <x:c r="E14" s="45" t="str">
        <x:v>Preço unitário</x:v>
      </x:c>
      <x:c r="F14" s="45" t="str">
        <x:v>Incluído no N0</x:v>
      </x:c>
      <x:c r="G14" s="45" t="str">
        <x:v>Subtotal R$</x:v>
      </x:c>
      <x:c r="H14" s="45" t="str">
        <x:v>Situação</x:v>
      </x:c>
      <x:c r="I14" s="45" t="str">
        <x:v>Fonte e escopo</x:v>
      </x:c>
    </x:row>
    <x:row r="15" ht="38" customHeight="1">
      <x:c r="A15" s="46" t="str">
        <x:v>Leitos</x:v>
      </x:c>
      <x:c r="B15" s="46" t="str">
        <x:v>leito-dia</x:v>
      </x:c>
      <x:c r="C15" s="47" t="n">
        <x:v>0</x:v>
      </x:c>
      <x:c r="D15" s="47" t="n">
        <x:v>1</x:v>
      </x:c>
      <x:c r="E15" s="50"/>
      <x:c r="F15" s="46" t="str">
        <x:v>Não</x:v>
      </x:c>
      <x:c r="G15" s="51" t="n">
        <x:f>IF(C15=0,0,IF(OR(C15&lt;0,D15&lt;=0,E15&lt;0),"",IF(F15="Sim",0,IF(OR(E15="",D15=""),"",C15*D15*E15))))</x:f>
        <x:v>0</x:v>
      </x:c>
      <x:c r="H15" s="42" t="str">
        <x:f>IF(C15=0,"Não acionado",IF(OR(C15&lt;0,D15&lt;=0,E15&lt;0),"Rever valores",IF(F15="Sim","Já incluído",IF(OR(E15="",D15=""),"Preço/período pendente","Calculado"))))</x:f>
        <x:v>Não acionado</x:v>
      </x:c>
      <x:c r="I15" s="46"/>
    </x:row>
    <x:row r="16" ht="38" customHeight="1">
      <x:c r="A16" s="46" t="str">
        <x:v>Laboratório</x:v>
      </x:c>
      <x:c r="B16" s="46" t="str">
        <x:v>módulo-dia</x:v>
      </x:c>
      <x:c r="C16" s="47" t="n">
        <x:v>0</x:v>
      </x:c>
      <x:c r="D16" s="47" t="n">
        <x:v>1</x:v>
      </x:c>
      <x:c r="E16" s="50"/>
      <x:c r="F16" s="46" t="str">
        <x:v>Não</x:v>
      </x:c>
      <x:c r="G16" s="51" t="n">
        <x:f>IF(C16=0,0,IF(OR(C16&lt;0,D16&lt;=0,E16&lt;0),"",IF(F16="Sim",0,IF(OR(E16="",D16=""),"",C16*D16*E16))))</x:f>
        <x:v>0</x:v>
      </x:c>
      <x:c r="H16" s="42" t="str">
        <x:f>IF(C16=0,"Não acionado",IF(OR(C16&lt;0,D16&lt;=0,E16&lt;0),"Rever valores",IF(F16="Sim","Já incluído",IF(OR(E16="",D16=""),"Preço/período pendente","Calculado"))))</x:f>
        <x:v>Não acionado</x:v>
      </x:c>
      <x:c r="I16" s="46"/>
    </x:row>
    <x:row r="17" ht="38" customHeight="1">
      <x:c r="A17" s="46" t="str">
        <x:v>Medicamento — discriminar</x:v>
      </x:c>
      <x:c r="B17" s="46" t="str">
        <x:v>unidade</x:v>
      </x:c>
      <x:c r="C17" s="47" t="n">
        <x:v>0</x:v>
      </x:c>
      <x:c r="D17" s="47" t="n">
        <x:v>1</x:v>
      </x:c>
      <x:c r="E17" s="50"/>
      <x:c r="F17" s="46" t="str">
        <x:v>Não</x:v>
      </x:c>
      <x:c r="G17" s="51" t="n">
        <x:f>IF(C17=0,0,IF(OR(C17&lt;0,D17&lt;=0,E17&lt;0),"",IF(F17="Sim",0,IF(OR(E17="",D17=""),"",C17*D17*E17))))</x:f>
        <x:v>0</x:v>
      </x:c>
      <x:c r="H17" s="42" t="str">
        <x:f>IF(C17=0,"Não acionado",IF(OR(C17&lt;0,D17&lt;=0,E17&lt;0),"Rever valores",IF(F17="Sim","Já incluído",IF(OR(E17="",D17=""),"Preço/período pendente","Calculado"))))</x:f>
        <x:v>Não acionado</x:v>
      </x:c>
      <x:c r="I17" s="46"/>
    </x:row>
    <x:row r="18" ht="38" customHeight="1">
      <x:c r="A18" s="46" t="str">
        <x:v>Insumo — discriminar</x:v>
      </x:c>
      <x:c r="B18" s="46" t="str">
        <x:v>unidade</x:v>
      </x:c>
      <x:c r="C18" s="47" t="n">
        <x:v>0</x:v>
      </x:c>
      <x:c r="D18" s="47" t="n">
        <x:v>1</x:v>
      </x:c>
      <x:c r="E18" s="50"/>
      <x:c r="F18" s="46" t="str">
        <x:v>Não</x:v>
      </x:c>
      <x:c r="G18" s="51" t="n">
        <x:f>IF(C18=0,0,IF(OR(C18&lt;0,D18&lt;=0,E18&lt;0),"",IF(F18="Sim",0,IF(OR(E18="",D18=""),"",C18*D18*E18))))</x:f>
        <x:v>0</x:v>
      </x:c>
      <x:c r="H18" s="42" t="str">
        <x:f>IF(C18=0,"Não acionado",IF(OR(C18&lt;0,D18&lt;=0,E18&lt;0),"Rever valores",IF(F18="Sim","Já incluído",IF(OR(E18="",D18=""),"Preço/período pendente","Calculado"))))</x:f>
        <x:v>Não acionado</x:v>
      </x:c>
      <x:c r="I18" s="46"/>
    </x:row>
    <x:row r="19" ht="38" customHeight="1">
      <x:c r="A19" s="46" t="str">
        <x:v>Transporte</x:v>
      </x:c>
      <x:c r="B19" s="46" t="str">
        <x:v>evento</x:v>
      </x:c>
      <x:c r="C19" s="47" t="n">
        <x:v>0</x:v>
      </x:c>
      <x:c r="D19" s="47" t="n">
        <x:v>1</x:v>
      </x:c>
      <x:c r="E19" s="50"/>
      <x:c r="F19" s="46" t="str">
        <x:v>Não</x:v>
      </x:c>
      <x:c r="G19" s="51" t="n">
        <x:f>IF(C19=0,0,IF(OR(C19&lt;0,D19&lt;=0,E19&lt;0),"",IF(F19="Sim",0,IF(OR(E19="",D19=""),"",C19*D19*E19))))</x:f>
        <x:v>0</x:v>
      </x:c>
      <x:c r="H19" s="42" t="str">
        <x:f>IF(C19=0,"Não acionado",IF(OR(C19&lt;0,D19&lt;=0,E19&lt;0),"Rever valores",IF(F19="Sim","Já incluído",IF(OR(E19="",D19=""),"Preço/período pendente","Calculado"))))</x:f>
        <x:v>Não acionado</x:v>
      </x:c>
      <x:c r="I19" s="46"/>
    </x:row>
    <x:row r="20" ht="38" customHeight="1">
      <x:c r="A20" s="46" t="str">
        <x:v>Implantação</x:v>
      </x:c>
      <x:c r="B20" s="46" t="str">
        <x:v>evento</x:v>
      </x:c>
      <x:c r="C20" s="47" t="n">
        <x:v>0</x:v>
      </x:c>
      <x:c r="D20" s="47" t="n">
        <x:v>1</x:v>
      </x:c>
      <x:c r="E20" s="50"/>
      <x:c r="F20" s="46" t="str">
        <x:v>Não</x:v>
      </x:c>
      <x:c r="G20" s="51" t="n">
        <x:f>IF(C20=0,0,IF(OR(C20&lt;0,D20&lt;=0,E20&lt;0),"",IF(F20="Sim",0,IF(OR(E20="",D20=""),"",C20*D20*E20))))</x:f>
        <x:v>0</x:v>
      </x:c>
      <x:c r="H20" s="42" t="str">
        <x:f>IF(C20=0,"Não acionado",IF(OR(C20&lt;0,D20&lt;=0,E20&lt;0),"Rever valores",IF(F20="Sim","Já incluído",IF(OR(E20="",D20=""),"Preço/período pendente","Calculado"))))</x:f>
        <x:v>Não acionado</x:v>
      </x:c>
      <x:c r="I20" s="46"/>
    </x:row>
    <x:row r="21" ht="38" customHeight="1">
      <x:c r="A21" s="46" t="str">
        <x:v>Equipe</x:v>
      </x:c>
      <x:c r="B21" s="46" t="str">
        <x:v>equipe-dia</x:v>
      </x:c>
      <x:c r="C21" s="47" t="n">
        <x:v>0</x:v>
      </x:c>
      <x:c r="D21" s="47" t="n">
        <x:v>1</x:v>
      </x:c>
      <x:c r="E21" s="50"/>
      <x:c r="F21" s="46" t="str">
        <x:v>Não</x:v>
      </x:c>
      <x:c r="G21" s="51" t="n">
        <x:f>IF(C21=0,0,IF(OR(C21&lt;0,D21&lt;=0,E21&lt;0),"",IF(F21="Sim",0,IF(OR(E21="",D21=""),"",C21*D21*E21))))</x:f>
        <x:v>0</x:v>
      </x:c>
      <x:c r="H21" s="42" t="str">
        <x:f>IF(C21=0,"Não acionado",IF(OR(C21&lt;0,D21&lt;=0,E21&lt;0),"Rever valores",IF(F21="Sim","Já incluído",IF(OR(E21="",D21=""),"Preço/período pendente","Calculado"))))</x:f>
        <x:v>Não acionado</x:v>
      </x:c>
      <x:c r="I21" s="46"/>
    </x:row>
    <x:row r="22" ht="38" customHeight="1">
      <x:c r="A22" s="46" t="str">
        <x:v>Suporte compartilhado</x:v>
      </x:c>
      <x:c r="B22" s="46" t="str">
        <x:v>módulo-dia</x:v>
      </x:c>
      <x:c r="C22" s="47" t="n">
        <x:v>0</x:v>
      </x:c>
      <x:c r="D22" s="47" t="n">
        <x:v>1</x:v>
      </x:c>
      <x:c r="E22" s="50"/>
      <x:c r="F22" s="46" t="str">
        <x:v>Não</x:v>
      </x:c>
      <x:c r="G22" s="51" t="n">
        <x:f>IF(C22=0,0,IF(OR(C22&lt;0,D22&lt;=0,E22&lt;0),"",IF(F22="Sim",0,IF(OR(E22="",D22=""),"",C22*D22*E22))))</x:f>
        <x:v>0</x:v>
      </x:c>
      <x:c r="H22" s="42" t="str">
        <x:f>IF(C22=0,"Não acionado",IF(OR(C22&lt;0,D22&lt;=0,E22&lt;0),"Rever valores",IF(F22="Sim","Já incluído",IF(OR(E22="",D22=""),"Preço/período pendente","Calculado"))))</x:f>
        <x:v>Não acionado</x:v>
      </x:c>
      <x:c r="I22" s="46"/>
    </x:row>
    <x:row r="23" ht="38" customHeight="1">
      <x:c r="A23" s="46" t="str">
        <x:v>Desmobilização</x:v>
      </x:c>
      <x:c r="B23" s="46" t="str">
        <x:v>evento</x:v>
      </x:c>
      <x:c r="C23" s="47" t="n">
        <x:v>0</x:v>
      </x:c>
      <x:c r="D23" s="47" t="n">
        <x:v>1</x:v>
      </x:c>
      <x:c r="E23" s="50"/>
      <x:c r="F23" s="46" t="str">
        <x:v>Não</x:v>
      </x:c>
      <x:c r="G23" s="51" t="n">
        <x:f>IF(C23=0,0,IF(OR(C23&lt;0,D23&lt;=0,E23&lt;0),"",IF(F23="Sim",0,IF(OR(E23="",D23=""),"",C23*D23*E23))))</x:f>
        <x:v>0</x:v>
      </x:c>
      <x:c r="H23" s="42" t="str">
        <x:f>IF(C23=0,"Não acionado",IF(OR(C23&lt;0,D23&lt;=0,E23&lt;0),"Rever valores",IF(F23="Sim","Já incluído",IF(OR(E23="",D23=""),"Preço/período pendente","Calculado"))))</x:f>
        <x:v>Não acionado</x:v>
      </x:c>
      <x:c r="I23" s="46"/>
    </x:row>
    <x:row r="24" ht="38" customHeight="1">
      <x:c r="A24" s="53" t="str">
        <x:v>Manutenção ordinária</x:v>
      </x:c>
      <x:c r="B24" s="53" t="str">
        <x:v>incluída</x:v>
      </x:c>
      <x:c r="C24" s="54" t="n">
        <x:v>0</x:v>
      </x:c>
      <x:c r="D24" s="54" t="n">
        <x:v>1</x:v>
      </x:c>
      <x:c r="E24" s="55" t="n">
        <x:v>0</x:v>
      </x:c>
      <x:c r="F24" s="53" t="str">
        <x:v>Sim</x:v>
      </x:c>
      <x:c r="G24" s="51" t="n">
        <x:f>0</x:f>
        <x:v>0</x:v>
      </x:c>
      <x:c r="H24" s="42" t="str">
        <x:v>Incluída no N0</x:v>
      </x:c>
      <x:c r="I24" s="46" t="str">
        <x:v>Custeada pela empresa</x:v>
      </x:c>
    </x:row>
    <x:row r="25" ht="38" customHeight="1">
      <x:c r="A25" s="46" t="str">
        <x:v>Item adicional 1</x:v>
      </x:c>
      <x:c r="B25" s="46" t="str">
        <x:v>unidade</x:v>
      </x:c>
      <x:c r="C25" s="47" t="n">
        <x:v>0</x:v>
      </x:c>
      <x:c r="D25" s="47" t="n">
        <x:v>1</x:v>
      </x:c>
      <x:c r="E25" s="50"/>
      <x:c r="F25" s="46" t="str">
        <x:v>Não</x:v>
      </x:c>
      <x:c r="G25" s="51" t="n">
        <x:f>IF(C25=0,0,IF(OR(C25&lt;0,D25&lt;=0,E25&lt;0),"",IF(F25="Sim",0,IF(OR(E25="",D25=""),"",C25*D25*E25))))</x:f>
        <x:v>0</x:v>
      </x:c>
      <x:c r="H25" s="42" t="str">
        <x:f>IF(C25=0,"Não acionado",IF(OR(C25&lt;0,D25&lt;=0,E25&lt;0),"Rever valores",IF(F25="Sim","Já incluído",IF(OR(E25="",D25=""),"Preço/período pendente","Calculado"))))</x:f>
        <x:v>Não acionado</x:v>
      </x:c>
      <x:c r="I25" s="46"/>
    </x:row>
    <x:row r="26" ht="38" customHeight="1">
      <x:c r="A26" s="46" t="str">
        <x:v>Item adicional 2</x:v>
      </x:c>
      <x:c r="B26" s="46" t="str">
        <x:v>unidade</x:v>
      </x:c>
      <x:c r="C26" s="47" t="n">
        <x:v>0</x:v>
      </x:c>
      <x:c r="D26" s="47" t="n">
        <x:v>1</x:v>
      </x:c>
      <x:c r="E26" s="50"/>
      <x:c r="F26" s="46" t="str">
        <x:v>Não</x:v>
      </x:c>
      <x:c r="G26" s="51" t="n">
        <x:f>IF(C26=0,0,IF(OR(C26&lt;0,D26&lt;=0,E26&lt;0),"",IF(F26="Sim",0,IF(OR(E26="",D26=""),"",C26*D26*E26))))</x:f>
        <x:v>0</x:v>
      </x:c>
      <x:c r="H26" s="42" t="str">
        <x:f>IF(C26=0,"Não acionado",IF(OR(C26&lt;0,D26&lt;=0,E26&lt;0),"Rever valores",IF(F26="Sim","Já incluído",IF(OR(E26="",D26=""),"Preço/período pendente","Calculado"))))</x:f>
        <x:v>Não acionado</x:v>
      </x:c>
      <x:c r="I26" s="46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</x:row>
    <x:row r="28">
      <x:c r="A28" s="48" t="str">
        <x:v>Custo variável da missão</x:v>
      </x:c>
      <x:c r="B28" s="52" t="n">
        <x:f>IF(COUNT(G15:G26)&lt;12,"PENDENTE",SUM(G15:G26))</x:f>
        <x:v>0</x:v>
      </x:c>
      <x:c r="C28" s="40"/>
      <x:c r="D28" s="40"/>
      <x:c r="E28" s="40"/>
      <x:c r="F28" s="40"/>
      <x:c r="G28" s="40"/>
      <x:c r="H28" s="40"/>
      <x:c r="I28" s="40"/>
    </x:row>
    <x:row r="29">
      <x:c r="A29" s="48" t="str">
        <x:v>Custo N0 no período</x:v>
      </x:c>
      <x:c r="B29" s="52" t="str">
        <x:f>IF(OR(B11="",B12=""),"PENDENTE",B11*B12)</x:f>
        <x:v>PENDENTE</x:v>
      </x:c>
      <x:c r="C29" s="40"/>
      <x:c r="D29" s="40"/>
      <x:c r="E29" s="40"/>
      <x:c r="F29" s="40"/>
      <x:c r="G29" s="40"/>
      <x:c r="H29" s="40"/>
      <x:c r="I29" s="40"/>
    </x:row>
    <x:row r="30">
      <x:c r="A30" s="48" t="str">
        <x:v>Total estimado</x:v>
      </x:c>
      <x:c r="B30" s="52" t="str">
        <x:f>IF(COUNT(B28:B29)&lt;2,"PENDENTE",SUM(B28:B29))</x:f>
        <x:v>PENDENTE</x:v>
      </x:c>
      <x:c r="C30" s="40"/>
      <x:c r="D30" s="40"/>
      <x:c r="E30" s="40"/>
      <x:c r="F30" s="40"/>
      <x:c r="G30" s="40"/>
      <x:c r="H30" s="40"/>
      <x:c r="I30" s="40"/>
    </x:row>
    <x:row r="31">
      <x:c r="A31" s="40" t="str">
        <x:v>Itens acionados sem cálculo</x:v>
      </x:c>
      <x:c r="B31" s="40" t="n">
        <x:f>12-COUNT(G15:G26)</x:f>
        <x:v>0</x:v>
      </x:c>
      <x:c r="C31" s="40"/>
      <x:c r="D31" s="40"/>
      <x:c r="E31" s="40"/>
      <x:c r="F31" s="40"/>
      <x:c r="G31" s="40"/>
      <x:c r="H31" s="40"/>
      <x:c r="I31" s="40"/>
    </x:row>
    <x:row r="32" ht="40" customHeight="1">
      <x:c r="A32" s="40" t="str">
        <x:v>Instrução para autorização</x:v>
      </x:c>
      <x:c r="B32" s="42" t="str">
        <x:f>IF(OR(B4="A definir",COUNTBLANK(B6:B10)&gt;0),"PENDENTE","Documentos informados; conferir ato")</x:f>
        <x:v>PENDENTE</x:v>
      </x:c>
      <x:c r="C32" s="40"/>
      <x:c r="D32" s="40"/>
      <x:c r="E32" s="40"/>
      <x:c r="F32" s="40"/>
      <x:c r="G32" s="40"/>
      <x:c r="H32" s="40"/>
      <x:c r="I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</x:row>
    <x:row r="34">
      <x:c r="A34" s="40" t="str">
        <x:v>Regras de preenchimento</x:v>
      </x:c>
      <x:c r="B34" s="40"/>
      <x:c r="C34" s="40"/>
      <x:c r="D34" s="40"/>
      <x:c r="E34" s="40"/>
      <x:c r="F34" s="40"/>
      <x:c r="G34" s="40"/>
      <x:c r="H34" s="40"/>
      <x:c r="I34" s="40"/>
    </x:row>
    <x:row r="35" ht="30" customHeight="1">
      <x:c r="A35" s="42" t="str">
        <x:v>N0 é remunerado mesmo sem uso, mediante disponibilidade comprovada. Manutenção ordinária está incluída nos preços.</x:v>
      </x:c>
      <x:c r="B35" s="42"/>
      <x:c r="C35" s="42"/>
      <x:c r="D35" s="42"/>
      <x:c r="E35" s="42"/>
      <x:c r="F35" s="42"/>
      <x:c r="G35" s="42"/>
      <x:c r="H35" s="42"/>
      <x:c r="I35" s="42"/>
    </x:row>
    <x:row r="36" ht="30" customHeight="1">
      <x:c r="A36" s="42" t="str">
        <x:v>N1 a N4 são referenciais. Quantidade zero significa item não acionado. Preço vazio mantém o cálculo pendente.</x:v>
      </x:c>
      <x:c r="B36" s="42"/>
      <x:c r="C36" s="42"/>
      <x:c r="D36" s="42"/>
      <x:c r="E36" s="42"/>
      <x:c r="F36" s="42"/>
      <x:c r="G36" s="42"/>
      <x:c r="H36" s="42"/>
      <x:c r="I36" s="42"/>
    </x:row>
    <x:row r="37" ht="30" customHeight="1">
      <x:c r="A37" s="42" t="str">
        <x:v>Em leito-dia ou módulo-dia, informe unidades em Quantidade e dias em Períodos. Fornecimento unitário usa Períodos = 1.</x:v>
      </x:c>
      <x:c r="B37" s="42"/>
      <x:c r="C37" s="42"/>
      <x:c r="D37" s="42"/>
      <x:c r="E37" s="42"/>
      <x:c r="F37" s="42"/>
      <x:c r="G37" s="42"/>
      <x:c r="H37" s="42"/>
      <x:c r="I37" s="42"/>
    </x:row>
    <x:row r="38" ht="30" customHeight="1">
      <x:c r="A38" s="42" t="str">
        <x:v>Dez leitos: selecione leitos e suportes necessários. Laboratório isolado: selecione laboratório e suas dependências.</x:v>
      </x:c>
      <x:c r="B38" s="42"/>
      <x:c r="C38" s="42"/>
      <x:c r="D38" s="42"/>
      <x:c r="E38" s="42"/>
      <x:c r="F38" s="42"/>
      <x:c r="G38" s="42"/>
      <x:c r="H38" s="42"/>
      <x:c r="I38" s="42"/>
    </x:row>
    <x:row r="39" ht="30" customHeight="1">
      <x:c r="A39" s="42" t="str">
        <x:v>Medicamentos isolados: discrimine apresentação e unidade, quantidade, fonte do preço, conservação e entrega. Não selecione montagem inexistente.</x:v>
      </x:c>
      <x:c r="B39" s="42"/>
      <x:c r="C39" s="42"/>
      <x:c r="D39" s="42"/>
      <x:c r="E39" s="42"/>
      <x:c r="F39" s="42"/>
      <x:c r="G39" s="42"/>
      <x:c r="H39" s="42"/>
      <x:c r="I39" s="42"/>
    </x:row>
    <x:row r="40" ht="30" customHeight="1">
      <x:c r="A40" s="42" t="str">
        <x:v>Não duplique suportes. Marque Incluído no N0 quando já remunerado. Para item incluso, o subtotal variável é zero.</x:v>
      </x:c>
      <x:c r="B40" s="42"/>
      <x:c r="C40" s="42"/>
      <x:c r="D40" s="42"/>
      <x:c r="E40" s="42"/>
      <x:c r="F40" s="42"/>
      <x:c r="G40" s="42"/>
      <x:c r="H40" s="42"/>
      <x:c r="I40" s="42"/>
    </x:row>
    <x:row r="41" ht="30" customHeight="1">
      <x:c r="A41" s="42" t="str">
        <x:v>A autorização cabe ao Secretário com documentação, risco e cenários. Documentos informados não significam autorização concedida.</x:v>
      </x:c>
      <x:c r="B41" s="42"/>
      <x:c r="C41" s="42"/>
      <x:c r="D41" s="42"/>
      <x:c r="E41" s="42"/>
      <x:c r="F41" s="42"/>
      <x:c r="G41" s="42"/>
      <x:c r="H41" s="42"/>
      <x:c r="I41" s="42"/>
    </x:row>
    <x:row r="42" ht="30" customHeight="1">
      <x:c r="A42" s="42" t="str">
        <x:v>Esta aba estima uma missão. Para múltiplas missões, some parcelas variáveis e conte o N0 somente uma vez no mesmo período.</x:v>
      </x:c>
      <x:c r="B42" s="42"/>
      <x:c r="C42" s="42"/>
      <x:c r="D42" s="42"/>
      <x:c r="E42" s="42"/>
      <x:c r="F42" s="42"/>
      <x:c r="G42" s="42"/>
      <x:c r="H42" s="42"/>
      <x:c r="I42" s="42"/>
    </x:row>
    <x:row r="43" ht="30" customHeight="1">
      <x:c r="A43" s="42" t="str">
        <x:v>Fonte das premissas: orientação de projeto de 28/09/2026. Preços devem ter pesquisa e validação antes da contratação.</x:v>
      </x:c>
      <x:c r="B43" s="42"/>
      <x:c r="C43" s="42"/>
      <x:c r="D43" s="42"/>
      <x:c r="E43" s="42"/>
      <x:c r="F43" s="42"/>
      <x:c r="G43" s="42"/>
      <x:c r="H43" s="42"/>
      <x:c r="I43" s="42"/>
    </x:row>
  </x:sheetData>
  <x:mergeCells>
    <x:mergeCell ref="A35:I35"/>
    <x:mergeCell ref="A36:I36"/>
    <x:mergeCell ref="A37:I37"/>
    <x:mergeCell ref="A38:I38"/>
    <x:mergeCell ref="A39:I39"/>
    <x:mergeCell ref="A40:I40"/>
    <x:mergeCell ref="A41:I41"/>
    <x:mergeCell ref="A42:I42"/>
    <x:mergeCell ref="A43:I43"/>
  </x:mergeCells>
  <x:dataValidations count="2">
    <x:dataValidation type="list" sqref="F15:F26">
      <x:formula1>"Sim,Não"</x:formula1>
    </x:dataValidation>
    <x:dataValidation type="list" sqref="B4">
      <x:formula1>"A definir,Sem ativação,Dez leitos,Laboratório isolado,Medicamentos isolados,Configuração mista"</x:formula1>
    </x:dataValidation>
  </x:dataValidations>
  <x:pageMargins left="0.7" right="0.7" top="0.75" bottom="0.75" header="0.3" footer="0.3"/>
</x:worksheet>
</file>